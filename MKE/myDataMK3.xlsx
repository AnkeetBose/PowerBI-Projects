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ebf69607f88730/Documents/"/>
    </mc:Choice>
  </mc:AlternateContent>
  <xr:revisionPtr revIDLastSave="7" documentId="8_{407AEB01-2CC5-46B7-8920-F8231DECE8AA}" xr6:coauthVersionLast="47" xr6:coauthVersionMax="47" xr10:uidLastSave="{A9CF32AD-06BC-4B63-8875-8313F22E84C6}"/>
  <bookViews>
    <workbookView xWindow="-108" yWindow="-108" windowWidth="23256" windowHeight="12456" xr2:uid="{FCBAEF94-570A-4A03-8F1F-E879FD2D2454}"/>
  </bookViews>
  <sheets>
    <sheet name="FactData" sheetId="4" r:id="rId1"/>
    <sheet name="DimCustomer" sheetId="5" r:id="rId2"/>
    <sheet name="DimProduct" sheetId="8" r:id="rId3"/>
    <sheet name="DimGeography" sheetId="7" r:id="rId4"/>
    <sheet name="DimApplication" sheetId="6" r:id="rId5"/>
    <sheet name="DimLoading" sheetId="9" r:id="rId6"/>
    <sheet name="Data" sheetId="2" r:id="rId7"/>
  </sheets>
  <definedNames>
    <definedName name="ExternalData_1" localSheetId="6" hidden="1">Data!$A$1:$R$132</definedName>
    <definedName name="ExternalData_1" localSheetId="0" hidden="1">FactData!$A$1:$K$132</definedName>
    <definedName name="ExternalData_2" localSheetId="1" hidden="1">DimCustomer!$A$1:$D$24</definedName>
    <definedName name="ExternalData_3" localSheetId="4" hidden="1">DimApplication!$A$1:$B$8</definedName>
    <definedName name="ExternalData_4" localSheetId="3" hidden="1">DimGeography!$A$1:$E$38</definedName>
    <definedName name="ExternalData_5" localSheetId="2" hidden="1">DimProduct!$A$1:$D$16</definedName>
    <definedName name="ExternalData_6" localSheetId="5" hidden="1">DimLoading!$A$1:$B$3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0" i="2" l="1"/>
  <c r="R124" i="2"/>
  <c r="R123" i="2"/>
  <c r="R122" i="2"/>
  <c r="R121" i="2"/>
  <c r="R120" i="2"/>
  <c r="R118" i="2"/>
  <c r="R117" i="2"/>
  <c r="R116" i="2"/>
  <c r="R114" i="2"/>
  <c r="R113" i="2"/>
  <c r="R111" i="2"/>
  <c r="R110" i="2"/>
  <c r="R109" i="2"/>
  <c r="R115" i="2"/>
  <c r="R107" i="2"/>
  <c r="R105" i="2"/>
  <c r="R103" i="2"/>
  <c r="R100" i="2"/>
  <c r="R97" i="2"/>
  <c r="R96" i="2"/>
  <c r="R93" i="2"/>
  <c r="R92" i="2"/>
  <c r="R91" i="2"/>
  <c r="R90" i="2"/>
  <c r="R89" i="2"/>
  <c r="R88" i="2"/>
  <c r="R87" i="2"/>
  <c r="R86" i="2"/>
  <c r="R84" i="2"/>
  <c r="R83" i="2"/>
  <c r="R82" i="2"/>
  <c r="R79" i="2"/>
  <c r="R78" i="2"/>
  <c r="R77" i="2"/>
  <c r="R76" i="2"/>
  <c r="R66" i="2"/>
  <c r="R57" i="2"/>
  <c r="R50" i="2"/>
  <c r="R44" i="2"/>
  <c r="R34" i="2"/>
  <c r="R24" i="2"/>
  <c r="R23" i="2"/>
  <c r="R22" i="2"/>
  <c r="R21" i="2"/>
  <c r="R17" i="2"/>
  <c r="R16" i="2"/>
  <c r="R13" i="2"/>
  <c r="R11" i="2"/>
  <c r="R10" i="2"/>
  <c r="R8" i="2"/>
  <c r="R6" i="2"/>
  <c r="R5" i="2"/>
  <c r="R3" i="2"/>
  <c r="R4" i="2"/>
  <c r="R7" i="2"/>
  <c r="R9" i="2"/>
  <c r="R12" i="2"/>
  <c r="R14" i="2"/>
  <c r="R15" i="2"/>
  <c r="R18" i="2"/>
  <c r="R19" i="2"/>
  <c r="R20" i="2"/>
  <c r="R25" i="2"/>
  <c r="R26" i="2"/>
  <c r="R27" i="2"/>
  <c r="R28" i="2"/>
  <c r="R29" i="2"/>
  <c r="R30" i="2"/>
  <c r="R31" i="2"/>
  <c r="R32" i="2"/>
  <c r="R33" i="2"/>
  <c r="R35" i="2"/>
  <c r="R36" i="2"/>
  <c r="R37" i="2"/>
  <c r="R38" i="2"/>
  <c r="R39" i="2"/>
  <c r="R40" i="2"/>
  <c r="R41" i="2"/>
  <c r="R42" i="2"/>
  <c r="R43" i="2"/>
  <c r="R45" i="2"/>
  <c r="R46" i="2"/>
  <c r="R47" i="2"/>
  <c r="R48" i="2"/>
  <c r="R49" i="2"/>
  <c r="R51" i="2"/>
  <c r="R52" i="2"/>
  <c r="R53" i="2"/>
  <c r="R54" i="2"/>
  <c r="R55" i="2"/>
  <c r="R56" i="2"/>
  <c r="R58" i="2"/>
  <c r="R59" i="2"/>
  <c r="R60" i="2"/>
  <c r="R61" i="2"/>
  <c r="R62" i="2"/>
  <c r="R63" i="2"/>
  <c r="R64" i="2"/>
  <c r="R65" i="2"/>
  <c r="R67" i="2"/>
  <c r="R68" i="2"/>
  <c r="R69" i="2"/>
  <c r="R70" i="2"/>
  <c r="R71" i="2"/>
  <c r="R72" i="2"/>
  <c r="R73" i="2"/>
  <c r="R74" i="2"/>
  <c r="R75" i="2"/>
  <c r="R80" i="2"/>
  <c r="R81" i="2"/>
  <c r="R85" i="2"/>
  <c r="R94" i="2"/>
  <c r="R95" i="2"/>
  <c r="R98" i="2"/>
  <c r="R99" i="2"/>
  <c r="R101" i="2"/>
  <c r="R102" i="2"/>
  <c r="R104" i="2"/>
  <c r="R106" i="2"/>
  <c r="R108" i="2"/>
  <c r="R112" i="2"/>
  <c r="R119" i="2"/>
  <c r="R125" i="2"/>
  <c r="R126" i="2"/>
  <c r="R127" i="2"/>
  <c r="R128" i="2"/>
  <c r="R129" i="2"/>
  <c r="R131" i="2"/>
  <c r="R132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757E2-B633-4A77-B7AE-9ECF8E902133}" keepAlive="1" name="Query - DimApplication" description="Connection to the 'DimApplication' query in the workbook." type="5" refreshedVersion="8" background="1" saveData="1">
    <dbPr connection="Provider=Microsoft.Mashup.OleDb.1;Data Source=$Workbook$;Location=DimApplication;Extended Properties=&quot;&quot;" command="SELECT * FROM [DimApplication]"/>
  </connection>
  <connection id="2" xr16:uid="{17FCDC34-1243-49D0-8037-FA0D38AD86F5}" keepAlive="1" name="Query - DimCustomer" description="Connection to the 'DimCustomer' query in the workbook." type="5" refreshedVersion="8" background="1" saveData="1">
    <dbPr connection="Provider=Microsoft.Mashup.OleDb.1;Data Source=$Workbook$;Location=DimCustomer;Extended Properties=&quot;&quot;" command="SELECT * FROM [DimCustomer]"/>
  </connection>
  <connection id="3" xr16:uid="{33498A78-1107-4514-A065-D0B45CAEBEB4}" keepAlive="1" name="Query - DimGeography" description="Connection to the 'DimGeography' query in the workbook." type="5" refreshedVersion="8" background="1" saveData="1">
    <dbPr connection="Provider=Microsoft.Mashup.OleDb.1;Data Source=$Workbook$;Location=DimGeography;Extended Properties=&quot;&quot;" command="SELECT * FROM [DimGeography]"/>
  </connection>
  <connection id="4" xr16:uid="{221A8FCC-5760-404F-891C-7E78568C8902}" keepAlive="1" name="Query - DimLoading" description="Connection to the 'DimLoading' query in the workbook." type="5" refreshedVersion="8" background="1" saveData="1">
    <dbPr connection="Provider=Microsoft.Mashup.OleDb.1;Data Source=$Workbook$;Location=DimLoading;Extended Properties=&quot;&quot;" command="SELECT * FROM [DimLoading]"/>
  </connection>
  <connection id="5" xr16:uid="{6CD6485C-D58F-461A-A8C4-E0534EFCA2AD}" keepAlive="1" name="Query - DimProduct" description="Connection to the 'DimProduct' query in the workbook." type="5" refreshedVersion="8" background="1" saveData="1">
    <dbPr connection="Provider=Microsoft.Mashup.OleDb.1;Data Source=$Workbook$;Location=DimProduct;Extended Properties=&quot;&quot;" command="SELECT * FROM [DimProduct]"/>
  </connection>
  <connection id="6" xr16:uid="{3B7AE854-E2F7-4D90-B59D-36AB2A0A2212}" keepAlive="1" name="Query - FactData" description="Connection to the 'FactData' query in the workbook." type="5" refreshedVersion="8" background="1" saveData="1">
    <dbPr connection="Provider=Microsoft.Mashup.OleDb.1;Data Source=$Workbook$;Location=FactData;Extended Properties=&quot;&quot;" command="SELECT * FROM [FactData]"/>
  </connection>
</connections>
</file>

<file path=xl/sharedStrings.xml><?xml version="1.0" encoding="utf-8"?>
<sst xmlns="http://schemas.openxmlformats.org/spreadsheetml/2006/main" count="1983" uniqueCount="254">
  <si>
    <t>Invoice No</t>
  </si>
  <si>
    <t>Invoice Date</t>
  </si>
  <si>
    <t>Customer Name</t>
  </si>
  <si>
    <t>Contact Name</t>
  </si>
  <si>
    <t>City</t>
  </si>
  <si>
    <t>District</t>
  </si>
  <si>
    <t>State</t>
  </si>
  <si>
    <t>Loading</t>
  </si>
  <si>
    <t>Customer Type</t>
  </si>
  <si>
    <t>Rate</t>
  </si>
  <si>
    <t>Quantity</t>
  </si>
  <si>
    <t>Sales</t>
  </si>
  <si>
    <t>MKE/24-25/1520</t>
  </si>
  <si>
    <t>Artija Aqua Engineers</t>
  </si>
  <si>
    <t>Sudipta Ganguly</t>
  </si>
  <si>
    <t>Bansberia</t>
  </si>
  <si>
    <t>Hooghly</t>
  </si>
  <si>
    <t>WB</t>
  </si>
  <si>
    <t>Packing</t>
  </si>
  <si>
    <t>MKE/24-25/1540</t>
  </si>
  <si>
    <t>MKE/24-25/1555</t>
  </si>
  <si>
    <t>Swach Environment Private Limited</t>
  </si>
  <si>
    <t>Anil Kumar Jha</t>
  </si>
  <si>
    <t>Paradeep</t>
  </si>
  <si>
    <t>Jagatsinghpur</t>
  </si>
  <si>
    <t>OD</t>
  </si>
  <si>
    <t>MKE/24-25/1656</t>
  </si>
  <si>
    <t>Imarat Udyog</t>
  </si>
  <si>
    <t>Subrata Guha</t>
  </si>
  <si>
    <t>Khardah</t>
  </si>
  <si>
    <t>North 24 Parganas</t>
  </si>
  <si>
    <t>MKE/24-25/1706</t>
  </si>
  <si>
    <t>MKE/24-25/1712</t>
  </si>
  <si>
    <t>Success Construction</t>
  </si>
  <si>
    <t>Subhashis Chakraborty</t>
  </si>
  <si>
    <t>Khanakul</t>
  </si>
  <si>
    <t>MKE/24-25/1742</t>
  </si>
  <si>
    <t>Om Traders</t>
  </si>
  <si>
    <t>Bhanu Singh</t>
  </si>
  <si>
    <t>Munger</t>
  </si>
  <si>
    <t>Bhagalpur</t>
  </si>
  <si>
    <t>BH</t>
  </si>
  <si>
    <t>MKE/24-25/1758</t>
  </si>
  <si>
    <t>Inaya Enterprise</t>
  </si>
  <si>
    <t>Simran Khan</t>
  </si>
  <si>
    <t>Namkum</t>
  </si>
  <si>
    <t>Ranchi</t>
  </si>
  <si>
    <t>JH</t>
  </si>
  <si>
    <t>Loose</t>
  </si>
  <si>
    <t>MKE/24-25/1759</t>
  </si>
  <si>
    <t>MKE/24-25/1785</t>
  </si>
  <si>
    <t>Fountina Consultancy</t>
  </si>
  <si>
    <t>Pushkar Prasoon</t>
  </si>
  <si>
    <t>Muniguda</t>
  </si>
  <si>
    <t>Rayagada</t>
  </si>
  <si>
    <t>MKE/24-25/1803</t>
  </si>
  <si>
    <t>Remunabazar</t>
  </si>
  <si>
    <t>Balasore</t>
  </si>
  <si>
    <t>MKE/24-25/1827</t>
  </si>
  <si>
    <t>MKE/24-25/1831</t>
  </si>
  <si>
    <t>Soro</t>
  </si>
  <si>
    <t>MKE/24-25/1848</t>
  </si>
  <si>
    <t>MKE/24-25/1857</t>
  </si>
  <si>
    <t>MKE/25-26/028</t>
  </si>
  <si>
    <t>Mundali</t>
  </si>
  <si>
    <t>Cuttack</t>
  </si>
  <si>
    <t>MKE/25-26/039</t>
  </si>
  <si>
    <t>MKE/25-26/075</t>
  </si>
  <si>
    <t>MKE/25-26/077</t>
  </si>
  <si>
    <t>Redwop Chemicals</t>
  </si>
  <si>
    <t>Jyoti Singh</t>
  </si>
  <si>
    <t>Piska</t>
  </si>
  <si>
    <t>MKE/25-26/080</t>
  </si>
  <si>
    <t>MKE/25-26/087</t>
  </si>
  <si>
    <t>Bhadrak</t>
  </si>
  <si>
    <t>MKE/25-26/088</t>
  </si>
  <si>
    <t>MKE/25-26/105</t>
  </si>
  <si>
    <t>Chhenapadi</t>
  </si>
  <si>
    <t>Keonjhar</t>
  </si>
  <si>
    <t>MKE/25-26/131</t>
  </si>
  <si>
    <t>Kuruda</t>
  </si>
  <si>
    <t>MKE/25-26/166</t>
  </si>
  <si>
    <t>MKE/25-26/175</t>
  </si>
  <si>
    <t>MKE/25-26/242</t>
  </si>
  <si>
    <t>Tamulia</t>
  </si>
  <si>
    <t>MKE/25-26/250</t>
  </si>
  <si>
    <t>MKE/25-26/317</t>
  </si>
  <si>
    <t>Shahabadi Civil Construction</t>
  </si>
  <si>
    <t>Aftab Shahabadi</t>
  </si>
  <si>
    <t>Sandesh</t>
  </si>
  <si>
    <t>Bhojpur</t>
  </si>
  <si>
    <t>Landscaping</t>
  </si>
  <si>
    <t>MKE/25-26/489</t>
  </si>
  <si>
    <t>ST Enterprise</t>
  </si>
  <si>
    <t>Ranjite Banerjee</t>
  </si>
  <si>
    <t>Rajpur Sonarpur</t>
  </si>
  <si>
    <t>South 24 Parganas</t>
  </si>
  <si>
    <t>MKE/25-26/517</t>
  </si>
  <si>
    <t>Mathani</t>
  </si>
  <si>
    <t>MKE/25-26/563</t>
  </si>
  <si>
    <t>MKE/25-26/583</t>
  </si>
  <si>
    <t>Janjgir</t>
  </si>
  <si>
    <t>Champa</t>
  </si>
  <si>
    <t>CG</t>
  </si>
  <si>
    <t>MKE/25-26/585</t>
  </si>
  <si>
    <t>MKE/25-26/595</t>
  </si>
  <si>
    <t>MKE/25-26/723</t>
  </si>
  <si>
    <t>Lachipur</t>
  </si>
  <si>
    <t>Jhargram</t>
  </si>
  <si>
    <t>MKE/25-26/806</t>
  </si>
  <si>
    <t>SS Power Tech Service</t>
  </si>
  <si>
    <t>Safiul Molla</t>
  </si>
  <si>
    <t>Kartoa rajganj</t>
  </si>
  <si>
    <t>Mahanbhita</t>
  </si>
  <si>
    <t>Boiler Bed</t>
  </si>
  <si>
    <t>MKE/25-26/823</t>
  </si>
  <si>
    <t>Bagnan</t>
  </si>
  <si>
    <t>Howrah</t>
  </si>
  <si>
    <t>MKE/25-26/887</t>
  </si>
  <si>
    <t>Om Prakash Singh</t>
  </si>
  <si>
    <t>Op Singh</t>
  </si>
  <si>
    <t>Dumra</t>
  </si>
  <si>
    <t>Sitamarhi</t>
  </si>
  <si>
    <t>MKE/25-26/897</t>
  </si>
  <si>
    <t>Tanujit Mondal</t>
  </si>
  <si>
    <t>Egra</t>
  </si>
  <si>
    <t>Purba Medinipur</t>
  </si>
  <si>
    <t>MKE/25-26/940</t>
  </si>
  <si>
    <t>Kari Kumar Sahu</t>
  </si>
  <si>
    <t>MKE/25-26/946</t>
  </si>
  <si>
    <t>MKE/25-26/949</t>
  </si>
  <si>
    <t>MKE/25-26/952</t>
  </si>
  <si>
    <t>MKE/25-26/955</t>
  </si>
  <si>
    <t>MKE/25-26/957</t>
  </si>
  <si>
    <t>Royal Instrument India Private Limited</t>
  </si>
  <si>
    <t>Subhash Rajgarhia</t>
  </si>
  <si>
    <t>Mahua Hajipur</t>
  </si>
  <si>
    <t>Vaishali</t>
  </si>
  <si>
    <t>MKE/25-26/971</t>
  </si>
  <si>
    <t>MKE/25-26/972</t>
  </si>
  <si>
    <t>MKE/25-26/979</t>
  </si>
  <si>
    <t>M/S Prakash Construction</t>
  </si>
  <si>
    <t>Om Prakash Choudhary</t>
  </si>
  <si>
    <t>Barauni Begusarai</t>
  </si>
  <si>
    <t>Ballia</t>
  </si>
  <si>
    <t>MKE/25-26/982</t>
  </si>
  <si>
    <t>MKE/25-26/989</t>
  </si>
  <si>
    <t>MKE/25-26/990</t>
  </si>
  <si>
    <t>MKE/25-26/1039</t>
  </si>
  <si>
    <t>MKE/25-26/1042</t>
  </si>
  <si>
    <t>MKE/25-26/1061</t>
  </si>
  <si>
    <t>MKE/25-26/1095</t>
  </si>
  <si>
    <t>CSIR-CIMFR</t>
  </si>
  <si>
    <t>Subhajit Betal</t>
  </si>
  <si>
    <t>Digwadih Campus</t>
  </si>
  <si>
    <t>Dhanbad</t>
  </si>
  <si>
    <t>MKE/25-26/1103</t>
  </si>
  <si>
    <t>Global Aqua Solutions</t>
  </si>
  <si>
    <t>Sudipta Kumar Dey</t>
  </si>
  <si>
    <t>Dargaon</t>
  </si>
  <si>
    <t>Jaigaon</t>
  </si>
  <si>
    <t>MKE/25-26/1106</t>
  </si>
  <si>
    <t>MKE/25-26/1117</t>
  </si>
  <si>
    <t>RK Construction</t>
  </si>
  <si>
    <t>Joydeep Hazra</t>
  </si>
  <si>
    <t>Panagarh</t>
  </si>
  <si>
    <t>Paschim Bardhamman</t>
  </si>
  <si>
    <t>MKE/25-26/1291</t>
  </si>
  <si>
    <t>MKE/25-26/1318</t>
  </si>
  <si>
    <t>Naya Bhagirathipur</t>
  </si>
  <si>
    <t>Dhenkanal</t>
  </si>
  <si>
    <t>MKE/25-26/1390</t>
  </si>
  <si>
    <t>MKE/25-26/1425</t>
  </si>
  <si>
    <t>MKE/25-26/1715</t>
  </si>
  <si>
    <t>MKE/25-26/1740</t>
  </si>
  <si>
    <t>MKE/25-26/1776</t>
  </si>
  <si>
    <t>Dipshikha Senitary Service</t>
  </si>
  <si>
    <t>Manik Jana</t>
  </si>
  <si>
    <t>Sector V</t>
  </si>
  <si>
    <t>Kolkata</t>
  </si>
  <si>
    <t>Rainwater Harvesting</t>
  </si>
  <si>
    <t>MKE/25-26/1795</t>
  </si>
  <si>
    <t>MKE/25-26/1818</t>
  </si>
  <si>
    <t>Shanti Enterprise</t>
  </si>
  <si>
    <t>Jayant Singh</t>
  </si>
  <si>
    <t>Sripura</t>
  </si>
  <si>
    <t>Jharsuguda</t>
  </si>
  <si>
    <t>MKE/25-26/1825</t>
  </si>
  <si>
    <t>Supreme Creation</t>
  </si>
  <si>
    <t>Sanjib Dutta</t>
  </si>
  <si>
    <t>Subhasgram</t>
  </si>
  <si>
    <t>MKE/25-26/1861</t>
  </si>
  <si>
    <t>A K Enterprises</t>
  </si>
  <si>
    <t>Amarjeet Patel</t>
  </si>
  <si>
    <t>Barkachha</t>
  </si>
  <si>
    <t>Mirzapur</t>
  </si>
  <si>
    <t>UP</t>
  </si>
  <si>
    <t>MKE/25-26/1900</t>
  </si>
  <si>
    <t>MKE/25-26/1901</t>
  </si>
  <si>
    <t>MKE/25-26/1902</t>
  </si>
  <si>
    <t>MKE/25-26/1903</t>
  </si>
  <si>
    <t>MKE/25-26/1904</t>
  </si>
  <si>
    <t>MKE/25-26/1905</t>
  </si>
  <si>
    <t>MKE/25-26/1906</t>
  </si>
  <si>
    <t>M R Construction</t>
  </si>
  <si>
    <t>SK Motibul Rahman</t>
  </si>
  <si>
    <t>Geonkhali</t>
  </si>
  <si>
    <t>SS Enterprise</t>
  </si>
  <si>
    <t>Bappa Mondal</t>
  </si>
  <si>
    <t>Tollygunge</t>
  </si>
  <si>
    <t>16/32</t>
  </si>
  <si>
    <t>3-6mm</t>
  </si>
  <si>
    <t>25-40mm</t>
  </si>
  <si>
    <t>12-25mm</t>
  </si>
  <si>
    <t>30/60</t>
  </si>
  <si>
    <t>60-100mm</t>
  </si>
  <si>
    <t>2-5mm</t>
  </si>
  <si>
    <t>6-12mm</t>
  </si>
  <si>
    <t>Product</t>
  </si>
  <si>
    <t>12/24</t>
  </si>
  <si>
    <t>Activated Carbon</t>
  </si>
  <si>
    <t>40-60mm</t>
  </si>
  <si>
    <t>Manganese Dioxide</t>
  </si>
  <si>
    <t>Anthracite</t>
  </si>
  <si>
    <t>10/20</t>
  </si>
  <si>
    <t>8/16</t>
  </si>
  <si>
    <t>MKE/25-26/1843</t>
  </si>
  <si>
    <t>Lakhimpur</t>
  </si>
  <si>
    <t>Shipping Date</t>
  </si>
  <si>
    <t xml:space="preserve"> WTP</t>
  </si>
  <si>
    <t xml:space="preserve"> Borewell</t>
  </si>
  <si>
    <t xml:space="preserve">Reseller </t>
  </si>
  <si>
    <t xml:space="preserve">Manufacturer </t>
  </si>
  <si>
    <t xml:space="preserve"> Tile Adhesives</t>
  </si>
  <si>
    <t>Application</t>
  </si>
  <si>
    <t>Individual</t>
  </si>
  <si>
    <t>Fire Cracker</t>
  </si>
  <si>
    <t xml:space="preserve">Trader </t>
  </si>
  <si>
    <t>Contract</t>
  </si>
  <si>
    <t>Company</t>
  </si>
  <si>
    <t>Distance from source</t>
  </si>
  <si>
    <t>Product Category</t>
  </si>
  <si>
    <t>Product Segment</t>
  </si>
  <si>
    <t>Sand</t>
  </si>
  <si>
    <t>Gravel</t>
  </si>
  <si>
    <t>Pebble</t>
  </si>
  <si>
    <t>Other Minerals</t>
  </si>
  <si>
    <t>Primary</t>
  </si>
  <si>
    <t>Secondary</t>
  </si>
  <si>
    <t>Customer ID</t>
  </si>
  <si>
    <t>Application ID</t>
  </si>
  <si>
    <t>Geography ID</t>
  </si>
  <si>
    <t>Product ID</t>
  </si>
  <si>
    <t>Loading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</si>
</sst>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EA4BE79-70AB-4DB9-8BC8-9B3C42C62D09}" autoFormatId="16" applyNumberFormats="0" applyBorderFormats="0" applyFontFormats="0" applyPatternFormats="0" applyAlignmentFormats="0" applyWidthHeightFormats="0">
  <queryTableRefresh nextId="12">
    <queryTableFields count="11">
      <queryTableField id="1" name="Invoice No" tableColumnId="1"/>
      <queryTableField id="2" name="Invoice Date" tableColumnId="2"/>
      <queryTableField id="3" name="Shipping Date" tableColumnId="3"/>
      <queryTableField id="4" name="Customer ID" tableColumnId="4"/>
      <queryTableField id="5" name="Geography ID" tableColumnId="5"/>
      <queryTableField id="6" name="Product ID" tableColumnId="6"/>
      <queryTableField id="7" name="Rate" tableColumnId="7"/>
      <queryTableField id="8" name="Quantity" tableColumnId="8"/>
      <queryTableField id="9" name="Sales" tableColumnId="9"/>
      <queryTableField id="10" name="Application ID" tableColumnId="10"/>
      <queryTableField id="11" name="Loading I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1EDEC01-76B0-4D45-85FF-E5776DC8264F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Customer Name" tableColumnId="2"/>
      <queryTableField id="3" name="Contact Name" tableColumnId="3"/>
      <queryTableField id="4" name="Customer Typ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2260912-03F6-4B5F-BA38-0177AF9B190F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" tableColumnId="2"/>
      <queryTableField id="3" name="Product Category" tableColumnId="3"/>
      <queryTableField id="4" name="Product Segme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5BC49E4-E07E-4D59-AC40-EF488C6936E6}" autoFormatId="16" applyNumberFormats="0" applyBorderFormats="0" applyFontFormats="0" applyPatternFormats="0" applyAlignmentFormats="0" applyWidthHeightFormats="0">
  <queryTableRefresh nextId="6">
    <queryTableFields count="5">
      <queryTableField id="1" name="Geography ID" tableColumnId="1"/>
      <queryTableField id="2" name="City" tableColumnId="2"/>
      <queryTableField id="3" name="District" tableColumnId="3"/>
      <queryTableField id="4" name="State" tableColumnId="4"/>
      <queryTableField id="5" name="Distance from sourc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FEC9362-DCD5-42E7-A67D-A35D2504BAE6}" autoFormatId="16" applyNumberFormats="0" applyBorderFormats="0" applyFontFormats="0" applyPatternFormats="0" applyAlignmentFormats="0" applyWidthHeightFormats="0">
  <queryTableRefresh nextId="3">
    <queryTableFields count="2">
      <queryTableField id="1" name="Application ID" tableColumnId="1"/>
      <queryTableField id="2" name="Appli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6C114ED7-50A5-409C-9F60-722715AC8F2E}" autoFormatId="16" applyNumberFormats="0" applyBorderFormats="0" applyFontFormats="0" applyPatternFormats="0" applyAlignmentFormats="0" applyWidthHeightFormats="0">
  <queryTableRefresh nextId="3">
    <queryTableFields count="2">
      <queryTableField id="1" name="Loading ID" tableColumnId="1"/>
      <queryTableField id="2" name="Load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2819D4-19F9-4A01-B7E0-75BE73BE1FB0}" name="FactData" displayName="FactData" ref="A1:K132" tableType="queryTable" totalsRowShown="0">
  <autoFilter ref="A1:K132" xr:uid="{9C2819D4-19F9-4A01-B7E0-75BE73BE1FB0}"/>
  <sortState xmlns:xlrd2="http://schemas.microsoft.com/office/spreadsheetml/2017/richdata2" ref="A2:K132">
    <sortCondition ref="B1:B132"/>
  </sortState>
  <tableColumns count="11">
    <tableColumn id="1" xr3:uid="{B946000F-7595-4C08-9BFC-C7E4D29FF011}" uniqueName="1" name="Invoice No" queryTableFieldId="1" dataDxfId="32"/>
    <tableColumn id="2" xr3:uid="{352EF2F4-8416-4DAF-B11B-6F4B3324F2C6}" uniqueName="2" name="Invoice Date" queryTableFieldId="2" dataDxfId="31"/>
    <tableColumn id="3" xr3:uid="{BF2A0532-EE55-4383-B8F1-8B3F0B9A1676}" uniqueName="3" name="Shipping Date" queryTableFieldId="3" dataDxfId="30"/>
    <tableColumn id="4" xr3:uid="{8D8B19D7-23A4-463C-BE41-0812AF6EDF40}" uniqueName="4" name="Customer ID" queryTableFieldId="4"/>
    <tableColumn id="5" xr3:uid="{C021F26A-17DF-453F-8B29-6A1BD0761235}" uniqueName="5" name="Geography ID" queryTableFieldId="5"/>
    <tableColumn id="6" xr3:uid="{416ADF22-56F8-40F0-9F38-06C5C4E47A79}" uniqueName="6" name="Product ID" queryTableFieldId="6"/>
    <tableColumn id="7" xr3:uid="{B9D87BBF-5BEB-49D2-BE09-24DD564251F6}" uniqueName="7" name="Rate" queryTableFieldId="7"/>
    <tableColumn id="8" xr3:uid="{EA28D63C-3B36-43DA-ACE8-0CEAE910A01E}" uniqueName="8" name="Quantity" queryTableFieldId="8"/>
    <tableColumn id="9" xr3:uid="{0B382841-886C-48F3-8F3A-740E93873DA0}" uniqueName="9" name="Sales" queryTableFieldId="9"/>
    <tableColumn id="10" xr3:uid="{0522B42B-AFE2-43F6-BBC1-CA4E2A4F27F5}" uniqueName="10" name="Application ID" queryTableFieldId="10"/>
    <tableColumn id="11" xr3:uid="{ACB5354F-698C-46A8-BA59-78C15BF314E0}" uniqueName="11" name="Loading I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ABB57-3AF2-48EA-AD16-C6EB273DCB89}" name="DimCustomer" displayName="DimCustomer" ref="A1:D24" tableType="queryTable" totalsRowShown="0">
  <autoFilter ref="A1:D24" xr:uid="{E6EABB57-3AF2-48EA-AD16-C6EB273DCB89}"/>
  <tableColumns count="4">
    <tableColumn id="1" xr3:uid="{4685868F-0452-4513-8B50-4FFDA71884AD}" uniqueName="1" name="Customer ID" queryTableFieldId="1"/>
    <tableColumn id="2" xr3:uid="{5BC5850D-7FD2-4243-BCF8-7C289CAA4B28}" uniqueName="2" name="Customer Name" queryTableFieldId="2" dataDxfId="29"/>
    <tableColumn id="3" xr3:uid="{28FBEC7C-3425-4063-ABFE-74BF3C13FBC5}" uniqueName="3" name="Contact Name" queryTableFieldId="3" dataDxfId="28"/>
    <tableColumn id="4" xr3:uid="{A283A396-BD04-4535-886C-36D5994FE8BD}" uniqueName="4" name="Customer Type" queryTableFieldId="4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B0F265-6AE5-4722-A630-9B351FFD340B}" name="DimProduct" displayName="DimProduct" ref="A1:D16" tableType="queryTable" totalsRowShown="0">
  <autoFilter ref="A1:D16" xr:uid="{1CB0F265-6AE5-4722-A630-9B351FFD340B}"/>
  <tableColumns count="4">
    <tableColumn id="1" xr3:uid="{6DCAEC99-B96E-46A3-84BB-6E78C650A652}" uniqueName="1" name="Product ID" queryTableFieldId="1"/>
    <tableColumn id="2" xr3:uid="{F524769F-6981-47C6-B2B1-4D1E811B2ECF}" uniqueName="2" name="Product" queryTableFieldId="2" dataDxfId="26"/>
    <tableColumn id="3" xr3:uid="{B3675B66-E1CF-4D4B-9D4D-B4F0E1A3653A}" uniqueName="3" name="Product Category" queryTableFieldId="3" dataDxfId="25"/>
    <tableColumn id="4" xr3:uid="{162AAA37-12C3-4F93-A416-DBE5F48F6379}" uniqueName="4" name="Product Segment" queryTableFieldId="4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F926C2-16AE-446C-89C7-439B5D73DBDC}" name="DimGeography" displayName="DimGeography" ref="A1:E38" tableType="queryTable" totalsRowShown="0">
  <autoFilter ref="A1:E38" xr:uid="{37F926C2-16AE-446C-89C7-439B5D73DBDC}"/>
  <tableColumns count="5">
    <tableColumn id="1" xr3:uid="{F8AD7ED9-9C92-4E26-8C3A-577EDD097E78}" uniqueName="1" name="Geography ID" queryTableFieldId="1"/>
    <tableColumn id="2" xr3:uid="{CA226DA4-BC28-4E90-B991-D5E1082CF7A9}" uniqueName="2" name="City" queryTableFieldId="2" dataDxfId="23"/>
    <tableColumn id="3" xr3:uid="{3C24AE36-648D-4432-8071-531DFB680E90}" uniqueName="3" name="District" queryTableFieldId="3" dataDxfId="22"/>
    <tableColumn id="4" xr3:uid="{7C354640-8285-4848-A58A-D9F3F174A3FC}" uniqueName="4" name="State" queryTableFieldId="4" dataDxfId="21"/>
    <tableColumn id="5" xr3:uid="{F316E911-D949-446F-8113-208469157C41}" uniqueName="5" name="Distance from sour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96CA6F-8E69-4663-9D9D-F3E8891B2DEB}" name="DimApplication" displayName="DimApplication" ref="A1:B8" tableType="queryTable" totalsRowShown="0">
  <autoFilter ref="A1:B8" xr:uid="{8396CA6F-8E69-4663-9D9D-F3E8891B2DEB}"/>
  <tableColumns count="2">
    <tableColumn id="1" xr3:uid="{3577E2D5-F74C-4D51-811A-EB8999F200BE}" uniqueName="1" name="Application ID" queryTableFieldId="1"/>
    <tableColumn id="2" xr3:uid="{D5B0540A-8099-4951-9E7C-F90C4990C681}" uniqueName="2" name="Application" queryTableFieldId="2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68C1FB-3058-4EF9-8685-761042BBC29B}" name="DimLoading" displayName="DimLoading" ref="A1:B3" tableType="queryTable" totalsRowShown="0">
  <autoFilter ref="A1:B3" xr:uid="{1268C1FB-3058-4EF9-8685-761042BBC29B}"/>
  <tableColumns count="2">
    <tableColumn id="1" xr3:uid="{CC96E4CF-F8D1-44FB-8895-5D15FC9602FB}" uniqueName="1" name="Loading ID" queryTableFieldId="1"/>
    <tableColumn id="2" xr3:uid="{E6EC18CA-3992-47C7-987B-751CE4A137D8}" uniqueName="2" name="Loading" queryTableFieldId="2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1B8666-B990-47C1-B08D-998110CBA7AC}" name="Table1_1" displayName="Table1_1" ref="A1:R132" totalsRowShown="0" headerRowDxfId="19" dataDxfId="18">
  <autoFilter ref="A1:R132" xr:uid="{9D1B8666-B990-47C1-B08D-998110CBA7AC}"/>
  <tableColumns count="18">
    <tableColumn id="1" xr3:uid="{B8B3F4CB-15CB-4FFA-A696-94B8D55B6607}" name="Invoice No" dataDxfId="17"/>
    <tableColumn id="2" xr3:uid="{31CF915A-F134-4DCF-905A-0330F810F2FA}" name="Invoice Date" dataDxfId="16"/>
    <tableColumn id="4" xr3:uid="{81A6165B-D068-4A92-B816-D9F78160F402}" name="Customer Name" dataDxfId="15"/>
    <tableColumn id="5" xr3:uid="{E240B831-4CE4-492F-8956-9810C407CD3E}" name="Contact Name" dataDxfId="14"/>
    <tableColumn id="7" xr3:uid="{B1F206F4-699E-4CE5-AA2F-818C5AAAFC3F}" name="City" dataDxfId="13"/>
    <tableColumn id="8" xr3:uid="{98A8C495-2261-4E7C-927D-3548DBC5DC2A}" name="District" dataDxfId="12"/>
    <tableColumn id="9" xr3:uid="{4C941C4D-A4DB-42F0-AA50-BCDD85D64886}" name="State" dataDxfId="11"/>
    <tableColumn id="12" xr3:uid="{FE52C1DA-B9EF-4D3F-9FFF-6774FD68C0BF}" name="Shipping Date" dataDxfId="10"/>
    <tableColumn id="10" xr3:uid="{FDFC31F8-7DA3-4D8E-A7E6-84939A13F0A6}" name="Loading" dataDxfId="9"/>
    <tableColumn id="11" xr3:uid="{2998E609-1E54-49A4-B4F1-6F24C4AE4702}" name="Customer Type" dataDxfId="8"/>
    <tableColumn id="14" xr3:uid="{7800F1A3-C27C-4D55-A6CE-67C941B20E9F}" name="Application" dataDxfId="7"/>
    <tableColumn id="13" xr3:uid="{AEFCD2C7-9F3B-47FE-B472-E9454F1BB90C}" name="Product" dataDxfId="6"/>
    <tableColumn id="17" xr3:uid="{88043C7E-B355-43DE-9E66-417310072192}" name="Product Category" dataDxfId="5"/>
    <tableColumn id="18" xr3:uid="{33266978-6936-4BCF-83BC-BCBC73D040FB}" name="Product Segment" dataDxfId="4"/>
    <tableColumn id="6" xr3:uid="{AAC056A4-FFBA-4F26-8190-60FF47EA2EB5}" name="Distance from source" dataDxfId="3"/>
    <tableColumn id="3" xr3:uid="{D3559B88-10C0-4490-B6E6-83D97B4DE837}" name="Rate" dataDxfId="2"/>
    <tableColumn id="15" xr3:uid="{D154FE1F-5FF7-4DE8-93D1-4C864D132EE6}" name="Quantity" dataDxfId="1"/>
    <tableColumn id="16" xr3:uid="{6B648D7D-8343-4813-A185-B24E98B67504}" name="Sal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FC1-2D5C-40F1-810E-035F2BE36F8D}">
  <dimension ref="A1:K132"/>
  <sheetViews>
    <sheetView tabSelected="1" workbookViewId="0">
      <selection activeCell="C124" sqref="C124"/>
    </sheetView>
  </sheetViews>
  <sheetFormatPr defaultRowHeight="14.4" x14ac:dyDescent="0.3"/>
  <cols>
    <col min="1" max="1" width="15" bestFit="1" customWidth="1"/>
    <col min="2" max="2" width="13.6640625" bestFit="1" customWidth="1"/>
    <col min="3" max="3" width="14.88671875" bestFit="1" customWidth="1"/>
    <col min="4" max="4" width="13.5546875" bestFit="1" customWidth="1"/>
    <col min="5" max="5" width="14.6640625" bestFit="1" customWidth="1"/>
    <col min="6" max="6" width="12.109375" bestFit="1" customWidth="1"/>
    <col min="7" max="7" width="7" bestFit="1" customWidth="1"/>
    <col min="8" max="8" width="10.5546875" bestFit="1" customWidth="1"/>
    <col min="9" max="9" width="7.44140625" bestFit="1" customWidth="1"/>
    <col min="10" max="10" width="15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228</v>
      </c>
      <c r="D1" t="s">
        <v>249</v>
      </c>
      <c r="E1" t="s">
        <v>251</v>
      </c>
      <c r="F1" t="s">
        <v>252</v>
      </c>
      <c r="G1" t="s">
        <v>9</v>
      </c>
      <c r="H1" t="s">
        <v>10</v>
      </c>
      <c r="I1" t="s">
        <v>11</v>
      </c>
      <c r="J1" t="s">
        <v>250</v>
      </c>
      <c r="K1" t="s">
        <v>253</v>
      </c>
    </row>
    <row r="2" spans="1:11" x14ac:dyDescent="0.3">
      <c r="A2" t="s">
        <v>181</v>
      </c>
      <c r="B2" s="5">
        <v>45666</v>
      </c>
      <c r="C2" s="5">
        <v>45668</v>
      </c>
      <c r="D2">
        <v>101</v>
      </c>
      <c r="E2">
        <v>1018</v>
      </c>
      <c r="F2">
        <v>8</v>
      </c>
      <c r="G2">
        <v>9000</v>
      </c>
      <c r="H2">
        <v>10</v>
      </c>
      <c r="I2">
        <v>90000</v>
      </c>
      <c r="J2">
        <v>500</v>
      </c>
      <c r="K2">
        <v>2</v>
      </c>
    </row>
    <row r="3" spans="1:11" x14ac:dyDescent="0.3">
      <c r="A3" t="s">
        <v>181</v>
      </c>
      <c r="B3" s="5">
        <v>45666</v>
      </c>
      <c r="C3" s="5">
        <v>45668</v>
      </c>
      <c r="D3">
        <v>101</v>
      </c>
      <c r="E3">
        <v>1018</v>
      </c>
      <c r="F3">
        <v>2</v>
      </c>
      <c r="G3">
        <v>2700</v>
      </c>
      <c r="H3">
        <v>20</v>
      </c>
      <c r="I3">
        <v>54000</v>
      </c>
      <c r="J3">
        <v>500</v>
      </c>
      <c r="K3">
        <v>2</v>
      </c>
    </row>
    <row r="4" spans="1:11" x14ac:dyDescent="0.3">
      <c r="A4" t="s">
        <v>12</v>
      </c>
      <c r="B4" s="5">
        <v>45699</v>
      </c>
      <c r="C4" s="5">
        <v>45701</v>
      </c>
      <c r="D4">
        <v>101</v>
      </c>
      <c r="E4">
        <v>1001</v>
      </c>
      <c r="F4">
        <v>1</v>
      </c>
      <c r="G4">
        <v>2700</v>
      </c>
      <c r="H4">
        <v>20</v>
      </c>
      <c r="I4">
        <v>54000</v>
      </c>
      <c r="J4">
        <v>500</v>
      </c>
      <c r="K4">
        <v>1</v>
      </c>
    </row>
    <row r="5" spans="1:11" x14ac:dyDescent="0.3">
      <c r="A5" t="s">
        <v>12</v>
      </c>
      <c r="B5" s="5">
        <v>45699</v>
      </c>
      <c r="C5" s="5">
        <v>45701</v>
      </c>
      <c r="D5">
        <v>101</v>
      </c>
      <c r="E5">
        <v>1001</v>
      </c>
      <c r="F5">
        <v>2</v>
      </c>
      <c r="G5">
        <v>2700</v>
      </c>
      <c r="H5">
        <v>15</v>
      </c>
      <c r="I5">
        <v>40500</v>
      </c>
      <c r="J5">
        <v>500</v>
      </c>
      <c r="K5">
        <v>1</v>
      </c>
    </row>
    <row r="6" spans="1:11" x14ac:dyDescent="0.3">
      <c r="A6" t="s">
        <v>19</v>
      </c>
      <c r="B6" s="5">
        <v>45702</v>
      </c>
      <c r="C6" s="5">
        <v>45704</v>
      </c>
      <c r="D6">
        <v>101</v>
      </c>
      <c r="E6">
        <v>1001</v>
      </c>
      <c r="F6">
        <v>3</v>
      </c>
      <c r="G6">
        <v>3100</v>
      </c>
      <c r="H6">
        <v>10</v>
      </c>
      <c r="I6">
        <v>31000</v>
      </c>
      <c r="J6">
        <v>500</v>
      </c>
      <c r="K6">
        <v>1</v>
      </c>
    </row>
    <row r="7" spans="1:11" x14ac:dyDescent="0.3">
      <c r="A7" t="s">
        <v>19</v>
      </c>
      <c r="B7" s="5">
        <v>45702</v>
      </c>
      <c r="C7" s="5">
        <v>45704</v>
      </c>
      <c r="D7">
        <v>101</v>
      </c>
      <c r="E7">
        <v>1001</v>
      </c>
      <c r="F7">
        <v>4</v>
      </c>
      <c r="G7">
        <v>3100</v>
      </c>
      <c r="H7">
        <v>10</v>
      </c>
      <c r="I7">
        <v>31000</v>
      </c>
      <c r="J7">
        <v>500</v>
      </c>
      <c r="K7">
        <v>1</v>
      </c>
    </row>
    <row r="8" spans="1:11" x14ac:dyDescent="0.3">
      <c r="A8" t="s">
        <v>19</v>
      </c>
      <c r="B8" s="5">
        <v>45702</v>
      </c>
      <c r="C8" s="5">
        <v>45704</v>
      </c>
      <c r="D8">
        <v>101</v>
      </c>
      <c r="E8">
        <v>1001</v>
      </c>
      <c r="F8">
        <v>5</v>
      </c>
      <c r="G8">
        <v>3100</v>
      </c>
      <c r="H8">
        <v>10</v>
      </c>
      <c r="I8">
        <v>31000</v>
      </c>
      <c r="J8">
        <v>500</v>
      </c>
      <c r="K8">
        <v>1</v>
      </c>
    </row>
    <row r="9" spans="1:11" x14ac:dyDescent="0.3">
      <c r="A9" t="s">
        <v>20</v>
      </c>
      <c r="B9" s="5">
        <v>45705</v>
      </c>
      <c r="C9" s="5">
        <v>45707</v>
      </c>
      <c r="D9">
        <v>102</v>
      </c>
      <c r="E9">
        <v>1002</v>
      </c>
      <c r="F9">
        <v>6</v>
      </c>
      <c r="G9">
        <v>3500</v>
      </c>
      <c r="H9">
        <v>15</v>
      </c>
      <c r="I9">
        <v>52500</v>
      </c>
      <c r="J9">
        <v>505</v>
      </c>
      <c r="K9">
        <v>1</v>
      </c>
    </row>
    <row r="10" spans="1:11" x14ac:dyDescent="0.3">
      <c r="A10" t="s">
        <v>20</v>
      </c>
      <c r="B10" s="5">
        <v>45705</v>
      </c>
      <c r="C10" s="5">
        <v>45707</v>
      </c>
      <c r="D10">
        <v>102</v>
      </c>
      <c r="E10">
        <v>1002</v>
      </c>
      <c r="F10">
        <v>6</v>
      </c>
      <c r="G10">
        <v>3500</v>
      </c>
      <c r="H10">
        <v>10</v>
      </c>
      <c r="I10">
        <v>35000</v>
      </c>
      <c r="J10">
        <v>505</v>
      </c>
      <c r="K10">
        <v>1</v>
      </c>
    </row>
    <row r="11" spans="1:11" x14ac:dyDescent="0.3">
      <c r="A11" t="s">
        <v>26</v>
      </c>
      <c r="B11" s="5">
        <v>45716</v>
      </c>
      <c r="C11" s="5">
        <v>45718</v>
      </c>
      <c r="D11">
        <v>103</v>
      </c>
      <c r="E11">
        <v>1003</v>
      </c>
      <c r="F11">
        <v>3</v>
      </c>
      <c r="G11">
        <v>3150</v>
      </c>
      <c r="H11">
        <v>3</v>
      </c>
      <c r="I11">
        <v>9450</v>
      </c>
      <c r="J11">
        <v>500</v>
      </c>
      <c r="K11">
        <v>1</v>
      </c>
    </row>
    <row r="12" spans="1:11" x14ac:dyDescent="0.3">
      <c r="A12" t="s">
        <v>26</v>
      </c>
      <c r="B12" s="5">
        <v>45716</v>
      </c>
      <c r="C12" s="5">
        <v>45718</v>
      </c>
      <c r="D12">
        <v>103</v>
      </c>
      <c r="E12">
        <v>1003</v>
      </c>
      <c r="F12">
        <v>4</v>
      </c>
      <c r="G12">
        <v>3150</v>
      </c>
      <c r="H12">
        <v>3</v>
      </c>
      <c r="I12">
        <v>9450</v>
      </c>
      <c r="J12">
        <v>500</v>
      </c>
      <c r="K12">
        <v>1</v>
      </c>
    </row>
    <row r="13" spans="1:11" x14ac:dyDescent="0.3">
      <c r="A13" t="s">
        <v>26</v>
      </c>
      <c r="B13" s="5">
        <v>45716</v>
      </c>
      <c r="C13" s="5">
        <v>45718</v>
      </c>
      <c r="D13">
        <v>103</v>
      </c>
      <c r="E13">
        <v>1003</v>
      </c>
      <c r="F13">
        <v>5</v>
      </c>
      <c r="G13">
        <v>3150</v>
      </c>
      <c r="H13">
        <v>4</v>
      </c>
      <c r="I13">
        <v>12600</v>
      </c>
      <c r="J13">
        <v>500</v>
      </c>
      <c r="K13">
        <v>1</v>
      </c>
    </row>
    <row r="14" spans="1:11" x14ac:dyDescent="0.3">
      <c r="A14" t="s">
        <v>31</v>
      </c>
      <c r="B14" s="5">
        <v>45724</v>
      </c>
      <c r="C14" s="5">
        <v>45726</v>
      </c>
      <c r="D14">
        <v>101</v>
      </c>
      <c r="E14">
        <v>1001</v>
      </c>
      <c r="F14">
        <v>1</v>
      </c>
      <c r="G14">
        <v>2600</v>
      </c>
      <c r="H14">
        <v>20</v>
      </c>
      <c r="I14">
        <v>52000</v>
      </c>
      <c r="J14">
        <v>500</v>
      </c>
      <c r="K14">
        <v>1</v>
      </c>
    </row>
    <row r="15" spans="1:11" x14ac:dyDescent="0.3">
      <c r="A15" t="s">
        <v>31</v>
      </c>
      <c r="B15" s="5">
        <v>45724</v>
      </c>
      <c r="C15" s="5">
        <v>45726</v>
      </c>
      <c r="D15">
        <v>101</v>
      </c>
      <c r="E15">
        <v>1001</v>
      </c>
      <c r="F15">
        <v>5</v>
      </c>
      <c r="G15">
        <v>2600</v>
      </c>
      <c r="H15">
        <v>15</v>
      </c>
      <c r="I15">
        <v>39000</v>
      </c>
      <c r="J15">
        <v>500</v>
      </c>
      <c r="K15">
        <v>1</v>
      </c>
    </row>
    <row r="16" spans="1:11" x14ac:dyDescent="0.3">
      <c r="A16" t="s">
        <v>32</v>
      </c>
      <c r="B16" s="5">
        <v>45725</v>
      </c>
      <c r="C16" s="5">
        <v>45726</v>
      </c>
      <c r="D16">
        <v>104</v>
      </c>
      <c r="E16">
        <v>1004</v>
      </c>
      <c r="F16">
        <v>2</v>
      </c>
      <c r="G16">
        <v>2700</v>
      </c>
      <c r="H16">
        <v>25</v>
      </c>
      <c r="I16">
        <v>67500</v>
      </c>
      <c r="J16">
        <v>505</v>
      </c>
      <c r="K16">
        <v>1</v>
      </c>
    </row>
    <row r="17" spans="1:11" x14ac:dyDescent="0.3">
      <c r="A17" t="s">
        <v>36</v>
      </c>
      <c r="B17" s="5">
        <v>45728</v>
      </c>
      <c r="C17" s="5">
        <v>45730</v>
      </c>
      <c r="D17">
        <v>105</v>
      </c>
      <c r="E17">
        <v>1005</v>
      </c>
      <c r="F17">
        <v>2</v>
      </c>
      <c r="G17">
        <v>3250</v>
      </c>
      <c r="H17">
        <v>15</v>
      </c>
      <c r="I17">
        <v>48750</v>
      </c>
      <c r="J17">
        <v>505</v>
      </c>
      <c r="K17">
        <v>1</v>
      </c>
    </row>
    <row r="18" spans="1:11" x14ac:dyDescent="0.3">
      <c r="A18" t="s">
        <v>36</v>
      </c>
      <c r="B18" s="5">
        <v>45728</v>
      </c>
      <c r="C18" s="5">
        <v>45730</v>
      </c>
      <c r="D18">
        <v>105</v>
      </c>
      <c r="E18">
        <v>1005</v>
      </c>
      <c r="F18">
        <v>3</v>
      </c>
      <c r="G18">
        <v>3250</v>
      </c>
      <c r="H18">
        <v>10</v>
      </c>
      <c r="I18">
        <v>32500</v>
      </c>
      <c r="J18">
        <v>505</v>
      </c>
      <c r="K18">
        <v>1</v>
      </c>
    </row>
    <row r="19" spans="1:11" x14ac:dyDescent="0.3">
      <c r="A19" t="s">
        <v>36</v>
      </c>
      <c r="B19" s="5">
        <v>45728</v>
      </c>
      <c r="C19" s="5">
        <v>45730</v>
      </c>
      <c r="D19">
        <v>105</v>
      </c>
      <c r="E19">
        <v>1005</v>
      </c>
      <c r="F19">
        <v>4</v>
      </c>
      <c r="G19">
        <v>3250</v>
      </c>
      <c r="H19">
        <v>10</v>
      </c>
      <c r="I19">
        <v>32500</v>
      </c>
      <c r="J19">
        <v>505</v>
      </c>
      <c r="K19">
        <v>1</v>
      </c>
    </row>
    <row r="20" spans="1:11" x14ac:dyDescent="0.3">
      <c r="A20" t="s">
        <v>42</v>
      </c>
      <c r="B20" s="5">
        <v>45732</v>
      </c>
      <c r="C20" s="5">
        <v>45733</v>
      </c>
      <c r="D20">
        <v>106</v>
      </c>
      <c r="E20">
        <v>1006</v>
      </c>
      <c r="F20">
        <v>2</v>
      </c>
      <c r="G20">
        <v>2500</v>
      </c>
      <c r="H20">
        <v>30</v>
      </c>
      <c r="I20">
        <v>75000</v>
      </c>
      <c r="J20">
        <v>505</v>
      </c>
      <c r="K20">
        <v>2</v>
      </c>
    </row>
    <row r="21" spans="1:11" x14ac:dyDescent="0.3">
      <c r="A21" t="s">
        <v>49</v>
      </c>
      <c r="B21" s="5">
        <v>45732</v>
      </c>
      <c r="C21" s="5">
        <v>45733</v>
      </c>
      <c r="D21">
        <v>106</v>
      </c>
      <c r="E21">
        <v>1006</v>
      </c>
      <c r="F21">
        <v>2</v>
      </c>
      <c r="G21">
        <v>2500</v>
      </c>
      <c r="H21">
        <v>30</v>
      </c>
      <c r="I21">
        <v>75000</v>
      </c>
      <c r="J21">
        <v>505</v>
      </c>
      <c r="K21">
        <v>2</v>
      </c>
    </row>
    <row r="22" spans="1:11" x14ac:dyDescent="0.3">
      <c r="A22" t="s">
        <v>50</v>
      </c>
      <c r="B22" s="5">
        <v>45733</v>
      </c>
      <c r="C22" s="5">
        <v>45737</v>
      </c>
      <c r="D22">
        <v>107</v>
      </c>
      <c r="E22">
        <v>1007</v>
      </c>
      <c r="F22">
        <v>1</v>
      </c>
      <c r="G22">
        <v>4600</v>
      </c>
      <c r="H22">
        <v>6</v>
      </c>
      <c r="I22">
        <v>27600</v>
      </c>
      <c r="J22">
        <v>500</v>
      </c>
      <c r="K22">
        <v>1</v>
      </c>
    </row>
    <row r="23" spans="1:11" x14ac:dyDescent="0.3">
      <c r="A23" t="s">
        <v>50</v>
      </c>
      <c r="B23" s="5">
        <v>45733</v>
      </c>
      <c r="C23" s="5">
        <v>45737</v>
      </c>
      <c r="D23">
        <v>107</v>
      </c>
      <c r="E23">
        <v>1007</v>
      </c>
      <c r="F23">
        <v>2</v>
      </c>
      <c r="G23">
        <v>4600</v>
      </c>
      <c r="H23">
        <v>6</v>
      </c>
      <c r="I23">
        <v>27600</v>
      </c>
      <c r="J23">
        <v>500</v>
      </c>
      <c r="K23">
        <v>1</v>
      </c>
    </row>
    <row r="24" spans="1:11" x14ac:dyDescent="0.3">
      <c r="A24" t="s">
        <v>50</v>
      </c>
      <c r="B24" s="5">
        <v>45733</v>
      </c>
      <c r="C24" s="5">
        <v>45737</v>
      </c>
      <c r="D24">
        <v>107</v>
      </c>
      <c r="E24">
        <v>1007</v>
      </c>
      <c r="F24">
        <v>3</v>
      </c>
      <c r="G24">
        <v>4600</v>
      </c>
      <c r="H24">
        <v>6</v>
      </c>
      <c r="I24">
        <v>27600</v>
      </c>
      <c r="J24">
        <v>500</v>
      </c>
      <c r="K24">
        <v>1</v>
      </c>
    </row>
    <row r="25" spans="1:11" x14ac:dyDescent="0.3">
      <c r="A25" t="s">
        <v>50</v>
      </c>
      <c r="B25" s="5">
        <v>45733</v>
      </c>
      <c r="C25" s="5">
        <v>45737</v>
      </c>
      <c r="D25">
        <v>107</v>
      </c>
      <c r="E25">
        <v>1007</v>
      </c>
      <c r="F25">
        <v>4</v>
      </c>
      <c r="G25">
        <v>4600</v>
      </c>
      <c r="H25">
        <v>6</v>
      </c>
      <c r="I25">
        <v>27600</v>
      </c>
      <c r="J25">
        <v>500</v>
      </c>
      <c r="K25">
        <v>1</v>
      </c>
    </row>
    <row r="26" spans="1:11" x14ac:dyDescent="0.3">
      <c r="A26" t="s">
        <v>50</v>
      </c>
      <c r="B26" s="5">
        <v>45733</v>
      </c>
      <c r="C26" s="5">
        <v>45737</v>
      </c>
      <c r="D26">
        <v>107</v>
      </c>
      <c r="E26">
        <v>1007</v>
      </c>
      <c r="F26">
        <v>5</v>
      </c>
      <c r="G26">
        <v>4600</v>
      </c>
      <c r="H26">
        <v>6</v>
      </c>
      <c r="I26">
        <v>27600</v>
      </c>
      <c r="J26">
        <v>500</v>
      </c>
      <c r="K26">
        <v>1</v>
      </c>
    </row>
    <row r="27" spans="1:11" x14ac:dyDescent="0.3">
      <c r="A27" t="s">
        <v>55</v>
      </c>
      <c r="B27" s="5">
        <v>45738</v>
      </c>
      <c r="C27" s="5">
        <v>45740</v>
      </c>
      <c r="D27">
        <v>101</v>
      </c>
      <c r="E27">
        <v>1008</v>
      </c>
      <c r="F27">
        <v>2</v>
      </c>
      <c r="G27">
        <v>2650</v>
      </c>
      <c r="H27">
        <v>35</v>
      </c>
      <c r="I27">
        <v>92750</v>
      </c>
      <c r="J27">
        <v>505</v>
      </c>
      <c r="K27">
        <v>2</v>
      </c>
    </row>
    <row r="28" spans="1:11" x14ac:dyDescent="0.3">
      <c r="A28" t="s">
        <v>58</v>
      </c>
      <c r="B28" s="5">
        <v>45741</v>
      </c>
      <c r="C28" s="5">
        <v>45743</v>
      </c>
      <c r="D28">
        <v>101</v>
      </c>
      <c r="E28">
        <v>1008</v>
      </c>
      <c r="F28">
        <v>2</v>
      </c>
      <c r="G28">
        <v>2650</v>
      </c>
      <c r="H28">
        <v>25</v>
      </c>
      <c r="I28">
        <v>66250</v>
      </c>
      <c r="J28">
        <v>505</v>
      </c>
      <c r="K28">
        <v>2</v>
      </c>
    </row>
    <row r="29" spans="1:11" x14ac:dyDescent="0.3">
      <c r="A29" t="s">
        <v>59</v>
      </c>
      <c r="B29" s="5">
        <v>45742</v>
      </c>
      <c r="C29" s="5">
        <v>45744</v>
      </c>
      <c r="D29">
        <v>101</v>
      </c>
      <c r="E29">
        <v>1009</v>
      </c>
      <c r="F29">
        <v>2</v>
      </c>
      <c r="G29">
        <v>2750</v>
      </c>
      <c r="H29">
        <v>30</v>
      </c>
      <c r="I29">
        <v>82500</v>
      </c>
      <c r="J29">
        <v>505</v>
      </c>
      <c r="K29">
        <v>2</v>
      </c>
    </row>
    <row r="30" spans="1:11" x14ac:dyDescent="0.3">
      <c r="A30" t="s">
        <v>61</v>
      </c>
      <c r="B30" s="5">
        <v>45743</v>
      </c>
      <c r="C30" s="5">
        <v>45745</v>
      </c>
      <c r="D30">
        <v>101</v>
      </c>
      <c r="E30">
        <v>1008</v>
      </c>
      <c r="F30">
        <v>2</v>
      </c>
      <c r="G30">
        <v>2650</v>
      </c>
      <c r="H30">
        <v>35</v>
      </c>
      <c r="I30">
        <v>92750</v>
      </c>
      <c r="J30">
        <v>505</v>
      </c>
      <c r="K30">
        <v>2</v>
      </c>
    </row>
    <row r="31" spans="1:11" x14ac:dyDescent="0.3">
      <c r="A31" t="s">
        <v>62</v>
      </c>
      <c r="B31" s="5">
        <v>45744</v>
      </c>
      <c r="C31" s="5">
        <v>45746</v>
      </c>
      <c r="D31">
        <v>101</v>
      </c>
      <c r="E31">
        <v>1008</v>
      </c>
      <c r="F31">
        <v>2</v>
      </c>
      <c r="G31">
        <v>2650</v>
      </c>
      <c r="H31">
        <v>35</v>
      </c>
      <c r="I31">
        <v>92750</v>
      </c>
      <c r="J31">
        <v>505</v>
      </c>
      <c r="K31">
        <v>2</v>
      </c>
    </row>
    <row r="32" spans="1:11" x14ac:dyDescent="0.3">
      <c r="A32" t="s">
        <v>63</v>
      </c>
      <c r="B32" s="5">
        <v>45755</v>
      </c>
      <c r="C32" s="5">
        <v>45757</v>
      </c>
      <c r="D32">
        <v>101</v>
      </c>
      <c r="E32">
        <v>1010</v>
      </c>
      <c r="F32">
        <v>5</v>
      </c>
      <c r="G32">
        <v>3450</v>
      </c>
      <c r="H32">
        <v>35</v>
      </c>
      <c r="I32">
        <v>120750</v>
      </c>
      <c r="J32">
        <v>500</v>
      </c>
      <c r="K32">
        <v>1</v>
      </c>
    </row>
    <row r="33" spans="1:11" x14ac:dyDescent="0.3">
      <c r="A33" t="s">
        <v>66</v>
      </c>
      <c r="B33" s="5">
        <v>45757</v>
      </c>
      <c r="C33" s="5">
        <v>45759</v>
      </c>
      <c r="D33">
        <v>101</v>
      </c>
      <c r="E33">
        <v>1010</v>
      </c>
      <c r="F33">
        <v>4</v>
      </c>
      <c r="G33">
        <v>3450</v>
      </c>
      <c r="H33">
        <v>42</v>
      </c>
      <c r="I33">
        <v>144900</v>
      </c>
      <c r="J33">
        <v>500</v>
      </c>
      <c r="K33">
        <v>1</v>
      </c>
    </row>
    <row r="34" spans="1:11" x14ac:dyDescent="0.3">
      <c r="A34" t="s">
        <v>67</v>
      </c>
      <c r="B34" s="5">
        <v>45764</v>
      </c>
      <c r="C34" s="5">
        <v>45766</v>
      </c>
      <c r="D34">
        <v>101</v>
      </c>
      <c r="E34">
        <v>1010</v>
      </c>
      <c r="F34">
        <v>5</v>
      </c>
      <c r="G34">
        <v>3450</v>
      </c>
      <c r="H34">
        <v>42</v>
      </c>
      <c r="I34">
        <v>144900</v>
      </c>
      <c r="J34">
        <v>500</v>
      </c>
      <c r="K34">
        <v>1</v>
      </c>
    </row>
    <row r="35" spans="1:11" x14ac:dyDescent="0.3">
      <c r="A35" t="s">
        <v>68</v>
      </c>
      <c r="B35" s="5">
        <v>45764</v>
      </c>
      <c r="C35" s="5">
        <v>45765</v>
      </c>
      <c r="D35">
        <v>108</v>
      </c>
      <c r="E35">
        <v>1011</v>
      </c>
      <c r="F35">
        <v>7</v>
      </c>
      <c r="G35">
        <v>2350</v>
      </c>
      <c r="H35">
        <v>80</v>
      </c>
      <c r="I35">
        <v>188000</v>
      </c>
      <c r="J35">
        <v>510</v>
      </c>
      <c r="K35">
        <v>1</v>
      </c>
    </row>
    <row r="36" spans="1:11" x14ac:dyDescent="0.3">
      <c r="A36" t="s">
        <v>68</v>
      </c>
      <c r="B36" s="5">
        <v>45764</v>
      </c>
      <c r="C36" s="5">
        <v>45765</v>
      </c>
      <c r="D36">
        <v>108</v>
      </c>
      <c r="E36">
        <v>1011</v>
      </c>
      <c r="F36">
        <v>8</v>
      </c>
      <c r="G36">
        <v>7800</v>
      </c>
      <c r="H36">
        <v>20</v>
      </c>
      <c r="I36">
        <v>156000</v>
      </c>
      <c r="J36">
        <v>510</v>
      </c>
      <c r="K36">
        <v>1</v>
      </c>
    </row>
    <row r="37" spans="1:11" x14ac:dyDescent="0.3">
      <c r="A37" t="s">
        <v>72</v>
      </c>
      <c r="B37" s="5">
        <v>45765</v>
      </c>
      <c r="C37" s="5">
        <v>45767</v>
      </c>
      <c r="D37">
        <v>101</v>
      </c>
      <c r="E37">
        <v>1010</v>
      </c>
      <c r="F37">
        <v>2</v>
      </c>
      <c r="G37">
        <v>3050</v>
      </c>
      <c r="H37">
        <v>42</v>
      </c>
      <c r="I37">
        <v>128100</v>
      </c>
      <c r="J37">
        <v>500</v>
      </c>
      <c r="K37">
        <v>1</v>
      </c>
    </row>
    <row r="38" spans="1:11" x14ac:dyDescent="0.3">
      <c r="A38" t="s">
        <v>73</v>
      </c>
      <c r="B38" s="5">
        <v>45767</v>
      </c>
      <c r="C38" s="5">
        <v>45769</v>
      </c>
      <c r="D38">
        <v>101</v>
      </c>
      <c r="E38">
        <v>1012</v>
      </c>
      <c r="F38">
        <v>2</v>
      </c>
      <c r="G38">
        <v>2750</v>
      </c>
      <c r="H38">
        <v>25</v>
      </c>
      <c r="I38">
        <v>68750</v>
      </c>
      <c r="J38">
        <v>500</v>
      </c>
      <c r="K38">
        <v>2</v>
      </c>
    </row>
    <row r="39" spans="1:11" x14ac:dyDescent="0.3">
      <c r="A39" t="s">
        <v>75</v>
      </c>
      <c r="B39" s="5">
        <v>45768</v>
      </c>
      <c r="C39" s="5">
        <v>45770</v>
      </c>
      <c r="D39">
        <v>101</v>
      </c>
      <c r="E39">
        <v>1010</v>
      </c>
      <c r="F39">
        <v>2</v>
      </c>
      <c r="G39">
        <v>3050</v>
      </c>
      <c r="H39">
        <v>42</v>
      </c>
      <c r="I39">
        <v>128100</v>
      </c>
      <c r="J39">
        <v>500</v>
      </c>
      <c r="K39">
        <v>1</v>
      </c>
    </row>
    <row r="40" spans="1:11" x14ac:dyDescent="0.3">
      <c r="A40" t="s">
        <v>76</v>
      </c>
      <c r="B40" s="5">
        <v>45770</v>
      </c>
      <c r="C40" s="5">
        <v>45772</v>
      </c>
      <c r="D40">
        <v>101</v>
      </c>
      <c r="E40">
        <v>1013</v>
      </c>
      <c r="F40">
        <v>2</v>
      </c>
      <c r="G40">
        <v>2850</v>
      </c>
      <c r="H40">
        <v>35</v>
      </c>
      <c r="I40">
        <v>99750</v>
      </c>
      <c r="J40">
        <v>500</v>
      </c>
      <c r="K40">
        <v>2</v>
      </c>
    </row>
    <row r="41" spans="1:11" x14ac:dyDescent="0.3">
      <c r="A41" t="s">
        <v>79</v>
      </c>
      <c r="B41" s="5">
        <v>45773</v>
      </c>
      <c r="C41" s="5">
        <v>45775</v>
      </c>
      <c r="D41">
        <v>101</v>
      </c>
      <c r="E41">
        <v>1014</v>
      </c>
      <c r="F41">
        <v>2</v>
      </c>
      <c r="G41">
        <v>2650</v>
      </c>
      <c r="H41">
        <v>30</v>
      </c>
      <c r="I41">
        <v>79500</v>
      </c>
      <c r="J41">
        <v>500</v>
      </c>
      <c r="K41">
        <v>2</v>
      </c>
    </row>
    <row r="42" spans="1:11" x14ac:dyDescent="0.3">
      <c r="A42" t="s">
        <v>81</v>
      </c>
      <c r="B42" s="5">
        <v>45778</v>
      </c>
      <c r="C42" s="5">
        <v>45780</v>
      </c>
      <c r="D42">
        <v>101</v>
      </c>
      <c r="E42">
        <v>1010</v>
      </c>
      <c r="F42">
        <v>5</v>
      </c>
      <c r="G42">
        <v>3450</v>
      </c>
      <c r="H42">
        <v>30</v>
      </c>
      <c r="I42">
        <v>103500</v>
      </c>
      <c r="J42">
        <v>500</v>
      </c>
      <c r="K42">
        <v>1</v>
      </c>
    </row>
    <row r="43" spans="1:11" x14ac:dyDescent="0.3">
      <c r="A43" t="s">
        <v>82</v>
      </c>
      <c r="B43" s="5">
        <v>45780</v>
      </c>
      <c r="C43" s="5">
        <v>45782</v>
      </c>
      <c r="D43">
        <v>101</v>
      </c>
      <c r="E43">
        <v>1010</v>
      </c>
      <c r="F43">
        <v>5</v>
      </c>
      <c r="G43">
        <v>3450</v>
      </c>
      <c r="H43">
        <v>30</v>
      </c>
      <c r="I43">
        <v>103500</v>
      </c>
      <c r="J43">
        <v>500</v>
      </c>
      <c r="K43">
        <v>1</v>
      </c>
    </row>
    <row r="44" spans="1:11" x14ac:dyDescent="0.3">
      <c r="A44" t="s">
        <v>83</v>
      </c>
      <c r="B44" s="5">
        <v>45791</v>
      </c>
      <c r="C44" s="5">
        <v>45793</v>
      </c>
      <c r="D44">
        <v>101</v>
      </c>
      <c r="E44">
        <v>1015</v>
      </c>
      <c r="F44">
        <v>2</v>
      </c>
      <c r="G44">
        <v>2650</v>
      </c>
      <c r="H44">
        <v>35</v>
      </c>
      <c r="I44">
        <v>92750</v>
      </c>
      <c r="J44">
        <v>500</v>
      </c>
      <c r="K44">
        <v>2</v>
      </c>
    </row>
    <row r="45" spans="1:11" x14ac:dyDescent="0.3">
      <c r="A45" t="s">
        <v>85</v>
      </c>
      <c r="B45" s="5">
        <v>45792</v>
      </c>
      <c r="C45" s="5">
        <v>45794</v>
      </c>
      <c r="D45">
        <v>101</v>
      </c>
      <c r="E45">
        <v>1009</v>
      </c>
      <c r="F45">
        <v>1</v>
      </c>
      <c r="G45">
        <v>2750</v>
      </c>
      <c r="H45">
        <v>20</v>
      </c>
      <c r="I45">
        <v>55000</v>
      </c>
      <c r="J45">
        <v>500</v>
      </c>
      <c r="K45">
        <v>1</v>
      </c>
    </row>
    <row r="46" spans="1:11" x14ac:dyDescent="0.3">
      <c r="A46" t="s">
        <v>85</v>
      </c>
      <c r="B46" s="5">
        <v>45792</v>
      </c>
      <c r="C46" s="5">
        <v>45794</v>
      </c>
      <c r="D46">
        <v>101</v>
      </c>
      <c r="E46">
        <v>1009</v>
      </c>
      <c r="F46">
        <v>2</v>
      </c>
      <c r="G46">
        <v>2750</v>
      </c>
      <c r="H46">
        <v>15</v>
      </c>
      <c r="I46">
        <v>41250</v>
      </c>
      <c r="J46">
        <v>500</v>
      </c>
      <c r="K46">
        <v>2</v>
      </c>
    </row>
    <row r="47" spans="1:11" x14ac:dyDescent="0.3">
      <c r="A47" t="s">
        <v>86</v>
      </c>
      <c r="B47" s="5">
        <v>45801</v>
      </c>
      <c r="C47" s="5">
        <v>45804</v>
      </c>
      <c r="D47">
        <v>109</v>
      </c>
      <c r="E47">
        <v>1016</v>
      </c>
      <c r="F47">
        <v>9</v>
      </c>
      <c r="G47">
        <v>4600</v>
      </c>
      <c r="H47">
        <v>30</v>
      </c>
      <c r="I47">
        <v>138000</v>
      </c>
      <c r="J47">
        <v>515</v>
      </c>
      <c r="K47">
        <v>1</v>
      </c>
    </row>
    <row r="48" spans="1:11" x14ac:dyDescent="0.3">
      <c r="A48" t="s">
        <v>92</v>
      </c>
      <c r="B48" s="5">
        <v>45822</v>
      </c>
      <c r="C48" s="5">
        <v>45824</v>
      </c>
      <c r="D48">
        <v>110</v>
      </c>
      <c r="E48">
        <v>1017</v>
      </c>
      <c r="F48">
        <v>2</v>
      </c>
      <c r="G48">
        <v>1700</v>
      </c>
      <c r="H48">
        <v>25</v>
      </c>
      <c r="I48">
        <v>42500</v>
      </c>
      <c r="J48">
        <v>520</v>
      </c>
      <c r="K48">
        <v>1</v>
      </c>
    </row>
    <row r="49" spans="1:11" x14ac:dyDescent="0.3">
      <c r="A49" t="s">
        <v>97</v>
      </c>
      <c r="B49" s="5">
        <v>45825</v>
      </c>
      <c r="C49" s="5">
        <v>45827</v>
      </c>
      <c r="D49">
        <v>101</v>
      </c>
      <c r="E49">
        <v>1018</v>
      </c>
      <c r="F49">
        <v>2</v>
      </c>
      <c r="G49">
        <v>2650</v>
      </c>
      <c r="H49">
        <v>35</v>
      </c>
      <c r="I49">
        <v>92750</v>
      </c>
      <c r="J49">
        <v>500</v>
      </c>
      <c r="K49">
        <v>2</v>
      </c>
    </row>
    <row r="50" spans="1:11" x14ac:dyDescent="0.3">
      <c r="A50" t="s">
        <v>99</v>
      </c>
      <c r="B50" s="5">
        <v>45832</v>
      </c>
      <c r="C50" s="5">
        <v>45834</v>
      </c>
      <c r="D50">
        <v>101</v>
      </c>
      <c r="E50">
        <v>1015</v>
      </c>
      <c r="F50">
        <v>2</v>
      </c>
      <c r="G50">
        <v>2650</v>
      </c>
      <c r="H50">
        <v>35</v>
      </c>
      <c r="I50">
        <v>92750</v>
      </c>
      <c r="J50">
        <v>500</v>
      </c>
      <c r="K50">
        <v>2</v>
      </c>
    </row>
    <row r="51" spans="1:11" x14ac:dyDescent="0.3">
      <c r="A51" t="s">
        <v>100</v>
      </c>
      <c r="B51" s="5">
        <v>45834</v>
      </c>
      <c r="C51" s="5">
        <v>45838</v>
      </c>
      <c r="D51">
        <v>101</v>
      </c>
      <c r="E51">
        <v>1019</v>
      </c>
      <c r="F51">
        <v>5</v>
      </c>
      <c r="G51">
        <v>3900</v>
      </c>
      <c r="H51">
        <v>25</v>
      </c>
      <c r="I51">
        <v>97500</v>
      </c>
      <c r="J51">
        <v>500</v>
      </c>
      <c r="K51">
        <v>1</v>
      </c>
    </row>
    <row r="52" spans="1:11" x14ac:dyDescent="0.3">
      <c r="A52" t="s">
        <v>100</v>
      </c>
      <c r="B52" s="5">
        <v>45834</v>
      </c>
      <c r="C52" s="5">
        <v>45838</v>
      </c>
      <c r="D52">
        <v>101</v>
      </c>
      <c r="E52">
        <v>1019</v>
      </c>
      <c r="F52">
        <v>10</v>
      </c>
      <c r="G52">
        <v>16800</v>
      </c>
      <c r="H52">
        <v>5</v>
      </c>
      <c r="I52">
        <v>84000</v>
      </c>
      <c r="J52">
        <v>500</v>
      </c>
      <c r="K52">
        <v>1</v>
      </c>
    </row>
    <row r="53" spans="1:11" x14ac:dyDescent="0.3">
      <c r="A53" t="s">
        <v>104</v>
      </c>
      <c r="B53" s="5">
        <v>45835</v>
      </c>
      <c r="C53" s="5">
        <v>45837</v>
      </c>
      <c r="D53">
        <v>101</v>
      </c>
      <c r="E53">
        <v>1018</v>
      </c>
      <c r="F53">
        <v>2</v>
      </c>
      <c r="G53">
        <v>2650</v>
      </c>
      <c r="H53">
        <v>35</v>
      </c>
      <c r="I53">
        <v>92750</v>
      </c>
      <c r="J53">
        <v>500</v>
      </c>
      <c r="K53">
        <v>2</v>
      </c>
    </row>
    <row r="54" spans="1:11" x14ac:dyDescent="0.3">
      <c r="A54" t="s">
        <v>105</v>
      </c>
      <c r="B54" s="5">
        <v>45835</v>
      </c>
      <c r="C54" s="5">
        <v>45836</v>
      </c>
      <c r="D54">
        <v>110</v>
      </c>
      <c r="E54">
        <v>1017</v>
      </c>
      <c r="F54">
        <v>2</v>
      </c>
      <c r="G54">
        <v>1700</v>
      </c>
      <c r="H54">
        <v>30</v>
      </c>
      <c r="I54">
        <v>51000</v>
      </c>
      <c r="J54">
        <v>520</v>
      </c>
      <c r="K54">
        <v>1</v>
      </c>
    </row>
    <row r="55" spans="1:11" x14ac:dyDescent="0.3">
      <c r="A55" t="s">
        <v>106</v>
      </c>
      <c r="B55" s="5">
        <v>45855</v>
      </c>
      <c r="C55" s="5">
        <v>45856</v>
      </c>
      <c r="D55">
        <v>102</v>
      </c>
      <c r="E55">
        <v>1020</v>
      </c>
      <c r="F55">
        <v>11</v>
      </c>
      <c r="G55">
        <v>3100</v>
      </c>
      <c r="H55">
        <v>25</v>
      </c>
      <c r="I55">
        <v>77500</v>
      </c>
      <c r="J55">
        <v>505</v>
      </c>
      <c r="K55">
        <v>1</v>
      </c>
    </row>
    <row r="56" spans="1:11" x14ac:dyDescent="0.3">
      <c r="A56" t="s">
        <v>109</v>
      </c>
      <c r="B56" s="5">
        <v>45876</v>
      </c>
      <c r="C56" s="5">
        <v>45849</v>
      </c>
      <c r="D56">
        <v>111</v>
      </c>
      <c r="E56">
        <v>1021</v>
      </c>
      <c r="F56">
        <v>12</v>
      </c>
      <c r="G56">
        <v>4400</v>
      </c>
      <c r="H56">
        <v>25</v>
      </c>
      <c r="I56">
        <v>110000</v>
      </c>
      <c r="J56">
        <v>525</v>
      </c>
      <c r="K56">
        <v>1</v>
      </c>
    </row>
    <row r="57" spans="1:11" x14ac:dyDescent="0.3">
      <c r="A57" t="s">
        <v>115</v>
      </c>
      <c r="B57" s="5">
        <v>45880</v>
      </c>
      <c r="C57" s="5">
        <v>45851</v>
      </c>
      <c r="D57">
        <v>111</v>
      </c>
      <c r="E57">
        <v>1022</v>
      </c>
      <c r="F57">
        <v>12</v>
      </c>
      <c r="G57">
        <v>3300</v>
      </c>
      <c r="H57">
        <v>25</v>
      </c>
      <c r="I57">
        <v>82500</v>
      </c>
      <c r="J57">
        <v>525</v>
      </c>
      <c r="K57">
        <v>1</v>
      </c>
    </row>
    <row r="58" spans="1:11" x14ac:dyDescent="0.3">
      <c r="A58" t="s">
        <v>118</v>
      </c>
      <c r="B58" s="5">
        <v>45903</v>
      </c>
      <c r="C58" s="5">
        <v>45906</v>
      </c>
      <c r="D58">
        <v>112</v>
      </c>
      <c r="E58">
        <v>1023</v>
      </c>
      <c r="F58">
        <v>2</v>
      </c>
      <c r="G58">
        <v>4600</v>
      </c>
      <c r="H58">
        <v>20</v>
      </c>
      <c r="I58">
        <v>92000</v>
      </c>
      <c r="J58">
        <v>505</v>
      </c>
      <c r="K58">
        <v>1</v>
      </c>
    </row>
    <row r="59" spans="1:11" x14ac:dyDescent="0.3">
      <c r="A59" t="s">
        <v>118</v>
      </c>
      <c r="B59" s="5">
        <v>45903</v>
      </c>
      <c r="C59" s="5">
        <v>45906</v>
      </c>
      <c r="D59">
        <v>112</v>
      </c>
      <c r="E59">
        <v>1023</v>
      </c>
      <c r="F59">
        <v>3</v>
      </c>
      <c r="G59">
        <v>4600</v>
      </c>
      <c r="H59">
        <v>15</v>
      </c>
      <c r="I59">
        <v>69000</v>
      </c>
      <c r="J59">
        <v>505</v>
      </c>
      <c r="K59">
        <v>1</v>
      </c>
    </row>
    <row r="60" spans="1:11" x14ac:dyDescent="0.3">
      <c r="A60" t="s">
        <v>123</v>
      </c>
      <c r="B60" s="5">
        <v>45904</v>
      </c>
      <c r="C60" s="5">
        <v>45906</v>
      </c>
      <c r="D60">
        <v>104</v>
      </c>
      <c r="E60">
        <v>1024</v>
      </c>
      <c r="F60">
        <v>2</v>
      </c>
      <c r="G60">
        <v>3200</v>
      </c>
      <c r="H60">
        <v>25</v>
      </c>
      <c r="I60">
        <v>80000</v>
      </c>
      <c r="J60">
        <v>505</v>
      </c>
      <c r="K60">
        <v>1</v>
      </c>
    </row>
    <row r="61" spans="1:11" x14ac:dyDescent="0.3">
      <c r="A61" t="s">
        <v>127</v>
      </c>
      <c r="B61" s="5">
        <v>45913</v>
      </c>
      <c r="C61" s="5">
        <v>45914</v>
      </c>
      <c r="D61">
        <v>110</v>
      </c>
      <c r="E61">
        <v>1017</v>
      </c>
      <c r="F61">
        <v>11</v>
      </c>
      <c r="G61">
        <v>2900</v>
      </c>
      <c r="H61">
        <v>25</v>
      </c>
      <c r="I61">
        <v>72500</v>
      </c>
      <c r="J61">
        <v>520</v>
      </c>
      <c r="K61">
        <v>1</v>
      </c>
    </row>
    <row r="62" spans="1:11" x14ac:dyDescent="0.3">
      <c r="A62" t="s">
        <v>129</v>
      </c>
      <c r="B62" s="5">
        <v>45916</v>
      </c>
      <c r="C62" s="5">
        <v>45918</v>
      </c>
      <c r="D62">
        <v>104</v>
      </c>
      <c r="E62">
        <v>1024</v>
      </c>
      <c r="F62">
        <v>2</v>
      </c>
      <c r="G62">
        <v>3600</v>
      </c>
      <c r="H62">
        <v>18</v>
      </c>
      <c r="I62">
        <v>64800</v>
      </c>
      <c r="J62">
        <v>505</v>
      </c>
      <c r="K62">
        <v>1</v>
      </c>
    </row>
    <row r="63" spans="1:11" x14ac:dyDescent="0.3">
      <c r="A63" t="s">
        <v>130</v>
      </c>
      <c r="B63" s="5">
        <v>45916</v>
      </c>
      <c r="C63" s="5">
        <v>45917</v>
      </c>
      <c r="D63">
        <v>110</v>
      </c>
      <c r="E63">
        <v>1017</v>
      </c>
      <c r="F63">
        <v>11</v>
      </c>
      <c r="G63">
        <v>2900</v>
      </c>
      <c r="H63">
        <v>25</v>
      </c>
      <c r="I63">
        <v>72500</v>
      </c>
      <c r="J63">
        <v>520</v>
      </c>
      <c r="K63">
        <v>1</v>
      </c>
    </row>
    <row r="64" spans="1:11" x14ac:dyDescent="0.3">
      <c r="A64" t="s">
        <v>131</v>
      </c>
      <c r="B64" s="5">
        <v>45917</v>
      </c>
      <c r="C64" s="5">
        <v>45919</v>
      </c>
      <c r="D64">
        <v>110</v>
      </c>
      <c r="E64">
        <v>1017</v>
      </c>
      <c r="F64">
        <v>11</v>
      </c>
      <c r="G64">
        <v>1600</v>
      </c>
      <c r="H64">
        <v>25</v>
      </c>
      <c r="I64">
        <v>40000</v>
      </c>
      <c r="J64">
        <v>520</v>
      </c>
      <c r="K64">
        <v>1</v>
      </c>
    </row>
    <row r="65" spans="1:11" x14ac:dyDescent="0.3">
      <c r="A65" t="s">
        <v>132</v>
      </c>
      <c r="B65" s="5">
        <v>45918</v>
      </c>
      <c r="C65" s="5">
        <v>45920</v>
      </c>
      <c r="D65">
        <v>110</v>
      </c>
      <c r="E65">
        <v>1017</v>
      </c>
      <c r="F65">
        <v>11</v>
      </c>
      <c r="G65">
        <v>2900</v>
      </c>
      <c r="H65">
        <v>35</v>
      </c>
      <c r="I65">
        <v>101500</v>
      </c>
      <c r="J65">
        <v>520</v>
      </c>
      <c r="K65">
        <v>1</v>
      </c>
    </row>
    <row r="66" spans="1:11" x14ac:dyDescent="0.3">
      <c r="A66" t="s">
        <v>133</v>
      </c>
      <c r="B66" s="5">
        <v>45919</v>
      </c>
      <c r="C66" s="5">
        <v>45922</v>
      </c>
      <c r="D66">
        <v>113</v>
      </c>
      <c r="E66">
        <v>1025</v>
      </c>
      <c r="F66">
        <v>3</v>
      </c>
      <c r="G66">
        <v>3600</v>
      </c>
      <c r="H66">
        <v>35</v>
      </c>
      <c r="I66">
        <v>126000</v>
      </c>
      <c r="J66">
        <v>505</v>
      </c>
      <c r="K66">
        <v>1</v>
      </c>
    </row>
    <row r="67" spans="1:11" x14ac:dyDescent="0.3">
      <c r="A67" t="s">
        <v>138</v>
      </c>
      <c r="B67" s="5">
        <v>45923</v>
      </c>
      <c r="C67" s="5">
        <v>45926</v>
      </c>
      <c r="D67">
        <v>113</v>
      </c>
      <c r="E67">
        <v>1025</v>
      </c>
      <c r="F67">
        <v>2</v>
      </c>
      <c r="G67">
        <v>3400</v>
      </c>
      <c r="H67">
        <v>30</v>
      </c>
      <c r="I67">
        <v>102000</v>
      </c>
      <c r="J67">
        <v>505</v>
      </c>
      <c r="K67">
        <v>1</v>
      </c>
    </row>
    <row r="68" spans="1:11" x14ac:dyDescent="0.3">
      <c r="A68" t="s">
        <v>138</v>
      </c>
      <c r="B68" s="5">
        <v>45923</v>
      </c>
      <c r="C68" s="5">
        <v>45926</v>
      </c>
      <c r="D68">
        <v>113</v>
      </c>
      <c r="E68">
        <v>1025</v>
      </c>
      <c r="F68">
        <v>13</v>
      </c>
      <c r="G68">
        <v>14400</v>
      </c>
      <c r="H68">
        <v>5</v>
      </c>
      <c r="I68">
        <v>72000</v>
      </c>
      <c r="J68">
        <v>505</v>
      </c>
      <c r="K68">
        <v>1</v>
      </c>
    </row>
    <row r="69" spans="1:11" x14ac:dyDescent="0.3">
      <c r="A69" t="s">
        <v>139</v>
      </c>
      <c r="B69" s="5">
        <v>45923</v>
      </c>
      <c r="C69" s="5">
        <v>45926</v>
      </c>
      <c r="D69">
        <v>113</v>
      </c>
      <c r="E69">
        <v>1025</v>
      </c>
      <c r="F69">
        <v>2</v>
      </c>
      <c r="G69">
        <v>3400</v>
      </c>
      <c r="H69">
        <v>35</v>
      </c>
      <c r="I69">
        <v>119000</v>
      </c>
      <c r="J69">
        <v>505</v>
      </c>
      <c r="K69">
        <v>1</v>
      </c>
    </row>
    <row r="70" spans="1:11" x14ac:dyDescent="0.3">
      <c r="A70" t="s">
        <v>140</v>
      </c>
      <c r="B70" s="5">
        <v>45924</v>
      </c>
      <c r="C70" s="5">
        <v>45926</v>
      </c>
      <c r="D70">
        <v>114</v>
      </c>
      <c r="E70">
        <v>1026</v>
      </c>
      <c r="F70">
        <v>2</v>
      </c>
      <c r="G70">
        <v>3400</v>
      </c>
      <c r="H70">
        <v>35</v>
      </c>
      <c r="I70">
        <v>119000</v>
      </c>
      <c r="J70">
        <v>505</v>
      </c>
      <c r="K70">
        <v>2</v>
      </c>
    </row>
    <row r="71" spans="1:11" x14ac:dyDescent="0.3">
      <c r="A71" t="s">
        <v>145</v>
      </c>
      <c r="B71" s="5">
        <v>45924</v>
      </c>
      <c r="C71" s="5">
        <v>45926</v>
      </c>
      <c r="D71">
        <v>110</v>
      </c>
      <c r="E71">
        <v>1017</v>
      </c>
      <c r="F71">
        <v>11</v>
      </c>
      <c r="G71">
        <v>2900</v>
      </c>
      <c r="H71">
        <v>35</v>
      </c>
      <c r="I71">
        <v>101500</v>
      </c>
      <c r="J71">
        <v>520</v>
      </c>
      <c r="K71">
        <v>1</v>
      </c>
    </row>
    <row r="72" spans="1:11" x14ac:dyDescent="0.3">
      <c r="A72" t="s">
        <v>146</v>
      </c>
      <c r="B72" s="5">
        <v>45926</v>
      </c>
      <c r="C72" s="5">
        <v>45928</v>
      </c>
      <c r="D72">
        <v>114</v>
      </c>
      <c r="E72">
        <v>1026</v>
      </c>
      <c r="F72">
        <v>2</v>
      </c>
      <c r="G72">
        <v>3400</v>
      </c>
      <c r="H72">
        <v>35</v>
      </c>
      <c r="I72">
        <v>119000</v>
      </c>
      <c r="J72">
        <v>505</v>
      </c>
      <c r="K72">
        <v>2</v>
      </c>
    </row>
    <row r="73" spans="1:11" x14ac:dyDescent="0.3">
      <c r="A73" t="s">
        <v>147</v>
      </c>
      <c r="B73" s="5">
        <v>45926</v>
      </c>
      <c r="C73" s="5">
        <v>45928</v>
      </c>
      <c r="D73">
        <v>110</v>
      </c>
      <c r="E73">
        <v>1017</v>
      </c>
      <c r="F73">
        <v>11</v>
      </c>
      <c r="G73">
        <v>2900</v>
      </c>
      <c r="H73">
        <v>35</v>
      </c>
      <c r="I73">
        <v>101500</v>
      </c>
      <c r="J73">
        <v>520</v>
      </c>
      <c r="K73">
        <v>1</v>
      </c>
    </row>
    <row r="74" spans="1:11" x14ac:dyDescent="0.3">
      <c r="A74" t="s">
        <v>148</v>
      </c>
      <c r="B74" s="5">
        <v>45944</v>
      </c>
      <c r="C74" s="5">
        <v>45946</v>
      </c>
      <c r="D74">
        <v>101</v>
      </c>
      <c r="E74">
        <v>1015</v>
      </c>
      <c r="F74">
        <v>2</v>
      </c>
      <c r="G74">
        <v>2700</v>
      </c>
      <c r="H74">
        <v>35</v>
      </c>
      <c r="I74">
        <v>94500</v>
      </c>
      <c r="J74">
        <v>500</v>
      </c>
      <c r="K74">
        <v>2</v>
      </c>
    </row>
    <row r="75" spans="1:11" x14ac:dyDescent="0.3">
      <c r="A75" t="s">
        <v>149</v>
      </c>
      <c r="B75" s="5">
        <v>45945</v>
      </c>
      <c r="C75" s="5">
        <v>45947</v>
      </c>
      <c r="D75">
        <v>114</v>
      </c>
      <c r="E75">
        <v>1026</v>
      </c>
      <c r="F75">
        <v>2</v>
      </c>
      <c r="G75">
        <v>3400</v>
      </c>
      <c r="H75">
        <v>35</v>
      </c>
      <c r="I75">
        <v>119000</v>
      </c>
      <c r="J75">
        <v>505</v>
      </c>
      <c r="K75">
        <v>2</v>
      </c>
    </row>
    <row r="76" spans="1:11" x14ac:dyDescent="0.3">
      <c r="A76" t="s">
        <v>150</v>
      </c>
      <c r="B76" s="5">
        <v>45948</v>
      </c>
      <c r="C76" s="5">
        <v>45950</v>
      </c>
      <c r="D76">
        <v>101</v>
      </c>
      <c r="E76">
        <v>1009</v>
      </c>
      <c r="F76">
        <v>2</v>
      </c>
      <c r="G76">
        <v>2800</v>
      </c>
      <c r="H76">
        <v>30</v>
      </c>
      <c r="I76">
        <v>84000</v>
      </c>
      <c r="J76">
        <v>505</v>
      </c>
      <c r="K76">
        <v>2</v>
      </c>
    </row>
    <row r="77" spans="1:11" x14ac:dyDescent="0.3">
      <c r="A77" t="s">
        <v>151</v>
      </c>
      <c r="B77" s="5">
        <v>45956</v>
      </c>
      <c r="C77" s="5">
        <v>45957</v>
      </c>
      <c r="D77">
        <v>115</v>
      </c>
      <c r="E77">
        <v>1027</v>
      </c>
      <c r="F77">
        <v>1</v>
      </c>
      <c r="G77">
        <v>3200</v>
      </c>
      <c r="H77">
        <v>5</v>
      </c>
      <c r="I77">
        <v>16000</v>
      </c>
      <c r="J77">
        <v>505</v>
      </c>
      <c r="K77">
        <v>1</v>
      </c>
    </row>
    <row r="78" spans="1:11" x14ac:dyDescent="0.3">
      <c r="A78" t="s">
        <v>151</v>
      </c>
      <c r="B78" s="5">
        <v>45956</v>
      </c>
      <c r="C78" s="5">
        <v>45957</v>
      </c>
      <c r="D78">
        <v>115</v>
      </c>
      <c r="E78">
        <v>1027</v>
      </c>
      <c r="F78">
        <v>2</v>
      </c>
      <c r="G78">
        <v>3200</v>
      </c>
      <c r="H78">
        <v>5</v>
      </c>
      <c r="I78">
        <v>16000</v>
      </c>
      <c r="J78">
        <v>505</v>
      </c>
      <c r="K78">
        <v>1</v>
      </c>
    </row>
    <row r="79" spans="1:11" x14ac:dyDescent="0.3">
      <c r="A79" t="s">
        <v>151</v>
      </c>
      <c r="B79" s="5">
        <v>45956</v>
      </c>
      <c r="C79" s="5">
        <v>45957</v>
      </c>
      <c r="D79">
        <v>115</v>
      </c>
      <c r="E79">
        <v>1027</v>
      </c>
      <c r="F79">
        <v>3</v>
      </c>
      <c r="G79">
        <v>3200</v>
      </c>
      <c r="H79">
        <v>5</v>
      </c>
      <c r="I79">
        <v>16000</v>
      </c>
      <c r="J79">
        <v>505</v>
      </c>
      <c r="K79">
        <v>1</v>
      </c>
    </row>
    <row r="80" spans="1:11" x14ac:dyDescent="0.3">
      <c r="A80" t="s">
        <v>151</v>
      </c>
      <c r="B80" s="5">
        <v>45956</v>
      </c>
      <c r="C80" s="5">
        <v>45957</v>
      </c>
      <c r="D80">
        <v>115</v>
      </c>
      <c r="E80">
        <v>1027</v>
      </c>
      <c r="F80">
        <v>4</v>
      </c>
      <c r="G80">
        <v>3200</v>
      </c>
      <c r="H80">
        <v>5</v>
      </c>
      <c r="I80">
        <v>16000</v>
      </c>
      <c r="J80">
        <v>505</v>
      </c>
      <c r="K80">
        <v>1</v>
      </c>
    </row>
    <row r="81" spans="1:11" x14ac:dyDescent="0.3">
      <c r="A81" t="s">
        <v>151</v>
      </c>
      <c r="B81" s="5">
        <v>45956</v>
      </c>
      <c r="C81" s="5">
        <v>45957</v>
      </c>
      <c r="D81">
        <v>115</v>
      </c>
      <c r="E81">
        <v>1027</v>
      </c>
      <c r="F81">
        <v>5</v>
      </c>
      <c r="G81">
        <v>3200</v>
      </c>
      <c r="H81">
        <v>5</v>
      </c>
      <c r="I81">
        <v>16000</v>
      </c>
      <c r="J81">
        <v>505</v>
      </c>
      <c r="K81">
        <v>1</v>
      </c>
    </row>
    <row r="82" spans="1:11" x14ac:dyDescent="0.3">
      <c r="A82" t="s">
        <v>156</v>
      </c>
      <c r="B82" s="5">
        <v>45957</v>
      </c>
      <c r="C82" s="5">
        <v>45961</v>
      </c>
      <c r="D82">
        <v>116</v>
      </c>
      <c r="E82">
        <v>1028</v>
      </c>
      <c r="F82">
        <v>12</v>
      </c>
      <c r="G82">
        <v>4400</v>
      </c>
      <c r="H82">
        <v>35</v>
      </c>
      <c r="I82">
        <v>154000</v>
      </c>
      <c r="J82">
        <v>505</v>
      </c>
      <c r="K82">
        <v>1</v>
      </c>
    </row>
    <row r="83" spans="1:11" x14ac:dyDescent="0.3">
      <c r="A83" t="s">
        <v>161</v>
      </c>
      <c r="B83" s="5">
        <v>45959</v>
      </c>
      <c r="C83" s="5">
        <v>45963</v>
      </c>
      <c r="D83">
        <v>116</v>
      </c>
      <c r="E83">
        <v>1028</v>
      </c>
      <c r="F83">
        <v>12</v>
      </c>
      <c r="G83">
        <v>4400</v>
      </c>
      <c r="H83">
        <v>10</v>
      </c>
      <c r="I83">
        <v>44000</v>
      </c>
      <c r="J83">
        <v>505</v>
      </c>
      <c r="K83">
        <v>1</v>
      </c>
    </row>
    <row r="84" spans="1:11" x14ac:dyDescent="0.3">
      <c r="A84" t="s">
        <v>161</v>
      </c>
      <c r="B84" s="5">
        <v>45959</v>
      </c>
      <c r="C84" s="5">
        <v>45963</v>
      </c>
      <c r="D84">
        <v>116</v>
      </c>
      <c r="E84">
        <v>1028</v>
      </c>
      <c r="F84">
        <v>11</v>
      </c>
      <c r="G84">
        <v>4400</v>
      </c>
      <c r="H84">
        <v>8</v>
      </c>
      <c r="I84">
        <v>35200</v>
      </c>
      <c r="J84">
        <v>505</v>
      </c>
      <c r="K84">
        <v>1</v>
      </c>
    </row>
    <row r="85" spans="1:11" x14ac:dyDescent="0.3">
      <c r="A85" t="s">
        <v>161</v>
      </c>
      <c r="B85" s="5">
        <v>45959</v>
      </c>
      <c r="C85" s="5">
        <v>45963</v>
      </c>
      <c r="D85">
        <v>116</v>
      </c>
      <c r="E85">
        <v>1028</v>
      </c>
      <c r="F85">
        <v>3</v>
      </c>
      <c r="G85">
        <v>4400</v>
      </c>
      <c r="H85">
        <v>6</v>
      </c>
      <c r="I85">
        <v>26400</v>
      </c>
      <c r="J85">
        <v>505</v>
      </c>
      <c r="K85">
        <v>1</v>
      </c>
    </row>
    <row r="86" spans="1:11" x14ac:dyDescent="0.3">
      <c r="A86" t="s">
        <v>161</v>
      </c>
      <c r="B86" s="5">
        <v>45959</v>
      </c>
      <c r="C86" s="5">
        <v>45963</v>
      </c>
      <c r="D86">
        <v>116</v>
      </c>
      <c r="E86">
        <v>1028</v>
      </c>
      <c r="F86">
        <v>5</v>
      </c>
      <c r="G86">
        <v>4400</v>
      </c>
      <c r="H86">
        <v>6</v>
      </c>
      <c r="I86">
        <v>26400</v>
      </c>
      <c r="J86">
        <v>505</v>
      </c>
      <c r="K86">
        <v>1</v>
      </c>
    </row>
    <row r="87" spans="1:11" x14ac:dyDescent="0.3">
      <c r="A87" t="s">
        <v>162</v>
      </c>
      <c r="B87" s="5">
        <v>45962</v>
      </c>
      <c r="C87" s="5">
        <v>45963</v>
      </c>
      <c r="D87">
        <v>117</v>
      </c>
      <c r="E87">
        <v>1029</v>
      </c>
      <c r="F87">
        <v>1</v>
      </c>
      <c r="G87">
        <v>3279</v>
      </c>
      <c r="H87">
        <v>4</v>
      </c>
      <c r="I87">
        <v>13116</v>
      </c>
      <c r="J87">
        <v>500</v>
      </c>
      <c r="K87">
        <v>1</v>
      </c>
    </row>
    <row r="88" spans="1:11" x14ac:dyDescent="0.3">
      <c r="A88" t="s">
        <v>162</v>
      </c>
      <c r="B88" s="5">
        <v>45962</v>
      </c>
      <c r="C88" s="5">
        <v>45963</v>
      </c>
      <c r="D88">
        <v>117</v>
      </c>
      <c r="E88">
        <v>1029</v>
      </c>
      <c r="F88">
        <v>6</v>
      </c>
      <c r="G88">
        <v>3279</v>
      </c>
      <c r="H88">
        <v>5</v>
      </c>
      <c r="I88">
        <v>16395</v>
      </c>
      <c r="J88">
        <v>500</v>
      </c>
      <c r="K88">
        <v>1</v>
      </c>
    </row>
    <row r="89" spans="1:11" x14ac:dyDescent="0.3">
      <c r="A89" t="s">
        <v>162</v>
      </c>
      <c r="B89" s="5">
        <v>45962</v>
      </c>
      <c r="C89" s="5">
        <v>45963</v>
      </c>
      <c r="D89">
        <v>117</v>
      </c>
      <c r="E89">
        <v>1029</v>
      </c>
      <c r="F89">
        <v>12</v>
      </c>
      <c r="G89">
        <v>3279</v>
      </c>
      <c r="H89">
        <v>3</v>
      </c>
      <c r="I89">
        <v>9837</v>
      </c>
      <c r="J89">
        <v>500</v>
      </c>
      <c r="K89">
        <v>1</v>
      </c>
    </row>
    <row r="90" spans="1:11" x14ac:dyDescent="0.3">
      <c r="A90" t="s">
        <v>162</v>
      </c>
      <c r="B90" s="5">
        <v>45962</v>
      </c>
      <c r="C90" s="5">
        <v>45963</v>
      </c>
      <c r="D90">
        <v>117</v>
      </c>
      <c r="E90">
        <v>1029</v>
      </c>
      <c r="F90">
        <v>2</v>
      </c>
      <c r="G90">
        <v>3279</v>
      </c>
      <c r="H90">
        <v>3</v>
      </c>
      <c r="I90">
        <v>9837</v>
      </c>
      <c r="J90">
        <v>500</v>
      </c>
      <c r="K90">
        <v>1</v>
      </c>
    </row>
    <row r="91" spans="1:11" x14ac:dyDescent="0.3">
      <c r="A91" t="s">
        <v>162</v>
      </c>
      <c r="B91" s="5">
        <v>45962</v>
      </c>
      <c r="C91" s="5">
        <v>45963</v>
      </c>
      <c r="D91">
        <v>117</v>
      </c>
      <c r="E91">
        <v>1029</v>
      </c>
      <c r="F91">
        <v>3</v>
      </c>
      <c r="G91">
        <v>3279</v>
      </c>
      <c r="H91">
        <v>3</v>
      </c>
      <c r="I91">
        <v>9837</v>
      </c>
      <c r="J91">
        <v>500</v>
      </c>
      <c r="K91">
        <v>1</v>
      </c>
    </row>
    <row r="92" spans="1:11" x14ac:dyDescent="0.3">
      <c r="A92" t="s">
        <v>162</v>
      </c>
      <c r="B92" s="5">
        <v>45962</v>
      </c>
      <c r="C92" s="5">
        <v>45963</v>
      </c>
      <c r="D92">
        <v>117</v>
      </c>
      <c r="E92">
        <v>1029</v>
      </c>
      <c r="F92">
        <v>4</v>
      </c>
      <c r="G92">
        <v>3279</v>
      </c>
      <c r="H92">
        <v>3</v>
      </c>
      <c r="I92">
        <v>9837</v>
      </c>
      <c r="J92">
        <v>500</v>
      </c>
      <c r="K92">
        <v>1</v>
      </c>
    </row>
    <row r="93" spans="1:11" x14ac:dyDescent="0.3">
      <c r="A93" t="s">
        <v>162</v>
      </c>
      <c r="B93" s="5">
        <v>45962</v>
      </c>
      <c r="C93" s="5">
        <v>45963</v>
      </c>
      <c r="D93">
        <v>117</v>
      </c>
      <c r="E93">
        <v>1029</v>
      </c>
      <c r="F93">
        <v>5</v>
      </c>
      <c r="G93">
        <v>3279</v>
      </c>
      <c r="H93">
        <v>3</v>
      </c>
      <c r="I93">
        <v>9837</v>
      </c>
      <c r="J93">
        <v>500</v>
      </c>
      <c r="K93">
        <v>1</v>
      </c>
    </row>
    <row r="94" spans="1:11" x14ac:dyDescent="0.3">
      <c r="A94" t="s">
        <v>162</v>
      </c>
      <c r="B94" s="5">
        <v>45962</v>
      </c>
      <c r="C94" s="5">
        <v>45963</v>
      </c>
      <c r="D94">
        <v>117</v>
      </c>
      <c r="E94">
        <v>1029</v>
      </c>
      <c r="F94">
        <v>14</v>
      </c>
      <c r="G94">
        <v>3279</v>
      </c>
      <c r="H94">
        <v>3</v>
      </c>
      <c r="I94">
        <v>9837</v>
      </c>
      <c r="J94">
        <v>500</v>
      </c>
      <c r="K94">
        <v>1</v>
      </c>
    </row>
    <row r="95" spans="1:11" x14ac:dyDescent="0.3">
      <c r="A95" t="s">
        <v>162</v>
      </c>
      <c r="B95" s="5">
        <v>45962</v>
      </c>
      <c r="C95" s="5">
        <v>45963</v>
      </c>
      <c r="D95">
        <v>117</v>
      </c>
      <c r="E95">
        <v>1029</v>
      </c>
      <c r="F95">
        <v>10</v>
      </c>
      <c r="G95">
        <v>15900</v>
      </c>
      <c r="H95">
        <v>2</v>
      </c>
      <c r="I95">
        <v>31800</v>
      </c>
      <c r="J95">
        <v>500</v>
      </c>
      <c r="K95">
        <v>1</v>
      </c>
    </row>
    <row r="96" spans="1:11" x14ac:dyDescent="0.3">
      <c r="A96" t="s">
        <v>167</v>
      </c>
      <c r="B96" s="5">
        <v>45978</v>
      </c>
      <c r="C96" s="5">
        <v>45980</v>
      </c>
      <c r="D96">
        <v>101</v>
      </c>
      <c r="E96">
        <v>1018</v>
      </c>
      <c r="F96">
        <v>2</v>
      </c>
      <c r="G96">
        <v>2700</v>
      </c>
      <c r="H96">
        <v>35</v>
      </c>
      <c r="I96">
        <v>94500</v>
      </c>
      <c r="J96">
        <v>500</v>
      </c>
      <c r="K96">
        <v>2</v>
      </c>
    </row>
    <row r="97" spans="1:11" x14ac:dyDescent="0.3">
      <c r="A97" t="s">
        <v>168</v>
      </c>
      <c r="B97" s="5">
        <v>45980</v>
      </c>
      <c r="C97" s="5">
        <v>45984</v>
      </c>
      <c r="D97">
        <v>101</v>
      </c>
      <c r="E97">
        <v>1030</v>
      </c>
      <c r="F97">
        <v>3</v>
      </c>
      <c r="G97">
        <v>3450</v>
      </c>
      <c r="H97">
        <v>10</v>
      </c>
      <c r="I97">
        <v>34500</v>
      </c>
      <c r="J97">
        <v>500</v>
      </c>
      <c r="K97">
        <v>1</v>
      </c>
    </row>
    <row r="98" spans="1:11" x14ac:dyDescent="0.3">
      <c r="A98" t="s">
        <v>168</v>
      </c>
      <c r="B98" s="5">
        <v>45980</v>
      </c>
      <c r="C98" s="5">
        <v>45984</v>
      </c>
      <c r="D98">
        <v>101</v>
      </c>
      <c r="E98">
        <v>1030</v>
      </c>
      <c r="F98">
        <v>5</v>
      </c>
      <c r="G98">
        <v>3450</v>
      </c>
      <c r="H98">
        <v>10</v>
      </c>
      <c r="I98">
        <v>34500</v>
      </c>
      <c r="J98">
        <v>500</v>
      </c>
      <c r="K98">
        <v>1</v>
      </c>
    </row>
    <row r="99" spans="1:11" x14ac:dyDescent="0.3">
      <c r="A99" t="s">
        <v>168</v>
      </c>
      <c r="B99" s="5">
        <v>45980</v>
      </c>
      <c r="C99" s="5">
        <v>45984</v>
      </c>
      <c r="D99">
        <v>101</v>
      </c>
      <c r="E99">
        <v>1030</v>
      </c>
      <c r="F99">
        <v>13</v>
      </c>
      <c r="G99">
        <v>17200</v>
      </c>
      <c r="H99">
        <v>10</v>
      </c>
      <c r="I99">
        <v>172000</v>
      </c>
      <c r="J99">
        <v>500</v>
      </c>
      <c r="K99">
        <v>1</v>
      </c>
    </row>
    <row r="100" spans="1:11" x14ac:dyDescent="0.3">
      <c r="A100" t="s">
        <v>171</v>
      </c>
      <c r="B100" s="5">
        <v>45986</v>
      </c>
      <c r="C100" s="5">
        <v>45988</v>
      </c>
      <c r="D100">
        <v>101</v>
      </c>
      <c r="E100">
        <v>1018</v>
      </c>
      <c r="F100">
        <v>2</v>
      </c>
      <c r="G100">
        <v>2700</v>
      </c>
      <c r="H100">
        <v>35</v>
      </c>
      <c r="I100">
        <v>94500</v>
      </c>
      <c r="J100">
        <v>500</v>
      </c>
      <c r="K100">
        <v>2</v>
      </c>
    </row>
    <row r="101" spans="1:11" x14ac:dyDescent="0.3">
      <c r="A101" t="s">
        <v>172</v>
      </c>
      <c r="B101" s="5">
        <v>45988</v>
      </c>
      <c r="C101" s="5">
        <v>45992</v>
      </c>
      <c r="D101">
        <v>111</v>
      </c>
      <c r="E101">
        <v>1021</v>
      </c>
      <c r="F101">
        <v>15</v>
      </c>
      <c r="G101">
        <v>4000</v>
      </c>
      <c r="H101">
        <v>15</v>
      </c>
      <c r="I101">
        <v>60000</v>
      </c>
      <c r="J101">
        <v>525</v>
      </c>
      <c r="K101">
        <v>1</v>
      </c>
    </row>
    <row r="102" spans="1:11" x14ac:dyDescent="0.3">
      <c r="A102" t="s">
        <v>172</v>
      </c>
      <c r="B102" s="5">
        <v>45988</v>
      </c>
      <c r="C102" s="5">
        <v>45992</v>
      </c>
      <c r="D102">
        <v>111</v>
      </c>
      <c r="E102">
        <v>1021</v>
      </c>
      <c r="F102">
        <v>12</v>
      </c>
      <c r="G102">
        <v>4000</v>
      </c>
      <c r="H102">
        <v>15</v>
      </c>
      <c r="I102">
        <v>60000</v>
      </c>
      <c r="J102">
        <v>525</v>
      </c>
      <c r="K102">
        <v>1</v>
      </c>
    </row>
    <row r="103" spans="1:11" x14ac:dyDescent="0.3">
      <c r="A103" t="s">
        <v>173</v>
      </c>
      <c r="B103" s="5">
        <v>46008</v>
      </c>
      <c r="C103" s="5">
        <v>46010</v>
      </c>
      <c r="D103">
        <v>114</v>
      </c>
      <c r="E103">
        <v>1026</v>
      </c>
      <c r="F103">
        <v>2</v>
      </c>
      <c r="G103">
        <v>3200</v>
      </c>
      <c r="H103">
        <v>35</v>
      </c>
      <c r="I103">
        <v>112000</v>
      </c>
      <c r="J103">
        <v>505</v>
      </c>
      <c r="K103">
        <v>2</v>
      </c>
    </row>
    <row r="104" spans="1:11" x14ac:dyDescent="0.3">
      <c r="A104" t="s">
        <v>174</v>
      </c>
      <c r="B104" s="5">
        <v>46014</v>
      </c>
      <c r="C104" s="5">
        <v>46016</v>
      </c>
      <c r="D104">
        <v>101</v>
      </c>
      <c r="E104">
        <v>1018</v>
      </c>
      <c r="F104">
        <v>10</v>
      </c>
      <c r="G104">
        <v>16200</v>
      </c>
      <c r="H104">
        <v>10</v>
      </c>
      <c r="I104">
        <v>162000</v>
      </c>
      <c r="J104">
        <v>500</v>
      </c>
      <c r="K104">
        <v>2</v>
      </c>
    </row>
    <row r="105" spans="1:11" x14ac:dyDescent="0.3">
      <c r="A105" t="s">
        <v>174</v>
      </c>
      <c r="B105" s="5">
        <v>46014</v>
      </c>
      <c r="C105" s="5">
        <v>46016</v>
      </c>
      <c r="D105">
        <v>101</v>
      </c>
      <c r="E105">
        <v>1018</v>
      </c>
      <c r="F105">
        <v>2</v>
      </c>
      <c r="G105">
        <v>2700</v>
      </c>
      <c r="H105">
        <v>25</v>
      </c>
      <c r="I105">
        <v>67500</v>
      </c>
      <c r="J105">
        <v>500</v>
      </c>
      <c r="K105">
        <v>2</v>
      </c>
    </row>
    <row r="106" spans="1:11" x14ac:dyDescent="0.3">
      <c r="A106" t="s">
        <v>175</v>
      </c>
      <c r="B106" s="5">
        <v>46027</v>
      </c>
      <c r="C106" s="5">
        <v>46029</v>
      </c>
      <c r="D106">
        <v>118</v>
      </c>
      <c r="E106">
        <v>1031</v>
      </c>
      <c r="F106">
        <v>2</v>
      </c>
      <c r="G106">
        <v>3100</v>
      </c>
      <c r="H106">
        <v>10</v>
      </c>
      <c r="I106">
        <v>31000</v>
      </c>
      <c r="J106">
        <v>530</v>
      </c>
      <c r="K106">
        <v>1</v>
      </c>
    </row>
    <row r="107" spans="1:11" x14ac:dyDescent="0.3">
      <c r="A107" t="s">
        <v>175</v>
      </c>
      <c r="B107" s="5">
        <v>46027</v>
      </c>
      <c r="C107" s="5">
        <v>46029</v>
      </c>
      <c r="D107">
        <v>118</v>
      </c>
      <c r="E107">
        <v>1031</v>
      </c>
      <c r="F107">
        <v>10</v>
      </c>
      <c r="G107">
        <v>16200</v>
      </c>
      <c r="H107">
        <v>2</v>
      </c>
      <c r="I107">
        <v>32400</v>
      </c>
      <c r="J107">
        <v>530</v>
      </c>
      <c r="K107">
        <v>1</v>
      </c>
    </row>
    <row r="108" spans="1:11" x14ac:dyDescent="0.3">
      <c r="A108" t="s">
        <v>182</v>
      </c>
      <c r="B108" s="5">
        <v>46040</v>
      </c>
      <c r="C108" s="5">
        <v>46044</v>
      </c>
      <c r="D108">
        <v>119</v>
      </c>
      <c r="E108">
        <v>1032</v>
      </c>
      <c r="F108">
        <v>6</v>
      </c>
      <c r="G108">
        <v>3600</v>
      </c>
      <c r="H108">
        <v>10</v>
      </c>
      <c r="I108">
        <v>36000</v>
      </c>
      <c r="J108">
        <v>500</v>
      </c>
      <c r="K108">
        <v>1</v>
      </c>
    </row>
    <row r="109" spans="1:11" x14ac:dyDescent="0.3">
      <c r="A109" t="s">
        <v>182</v>
      </c>
      <c r="B109" s="5">
        <v>46040</v>
      </c>
      <c r="C109" s="5">
        <v>46044</v>
      </c>
      <c r="D109">
        <v>119</v>
      </c>
      <c r="E109">
        <v>1032</v>
      </c>
      <c r="F109">
        <v>2</v>
      </c>
      <c r="G109">
        <v>3600</v>
      </c>
      <c r="H109">
        <v>10</v>
      </c>
      <c r="I109">
        <v>36000</v>
      </c>
      <c r="J109">
        <v>500</v>
      </c>
      <c r="K109">
        <v>1</v>
      </c>
    </row>
    <row r="110" spans="1:11" x14ac:dyDescent="0.3">
      <c r="A110" t="s">
        <v>182</v>
      </c>
      <c r="B110" s="5">
        <v>46040</v>
      </c>
      <c r="C110" s="5">
        <v>46044</v>
      </c>
      <c r="D110">
        <v>119</v>
      </c>
      <c r="E110">
        <v>1032</v>
      </c>
      <c r="F110">
        <v>4</v>
      </c>
      <c r="G110">
        <v>3600</v>
      </c>
      <c r="H110">
        <v>10</v>
      </c>
      <c r="I110">
        <v>36000</v>
      </c>
      <c r="J110">
        <v>500</v>
      </c>
      <c r="K110">
        <v>1</v>
      </c>
    </row>
    <row r="111" spans="1:11" x14ac:dyDescent="0.3">
      <c r="A111" t="s">
        <v>182</v>
      </c>
      <c r="B111" s="5">
        <v>46040</v>
      </c>
      <c r="C111" s="5">
        <v>46044</v>
      </c>
      <c r="D111">
        <v>119</v>
      </c>
      <c r="E111">
        <v>1032</v>
      </c>
      <c r="F111">
        <v>5</v>
      </c>
      <c r="G111">
        <v>3600</v>
      </c>
      <c r="H111">
        <v>10</v>
      </c>
      <c r="I111">
        <v>36000</v>
      </c>
      <c r="J111">
        <v>500</v>
      </c>
      <c r="K111">
        <v>1</v>
      </c>
    </row>
    <row r="112" spans="1:11" x14ac:dyDescent="0.3">
      <c r="A112" t="s">
        <v>187</v>
      </c>
      <c r="B112" s="5">
        <v>46042</v>
      </c>
      <c r="C112" s="5">
        <v>46044</v>
      </c>
      <c r="D112">
        <v>120</v>
      </c>
      <c r="E112">
        <v>1033</v>
      </c>
      <c r="F112">
        <v>3</v>
      </c>
      <c r="G112">
        <v>2100</v>
      </c>
      <c r="H112">
        <v>10</v>
      </c>
      <c r="I112">
        <v>21000</v>
      </c>
      <c r="J112">
        <v>505</v>
      </c>
      <c r="K112">
        <v>1</v>
      </c>
    </row>
    <row r="113" spans="1:11" x14ac:dyDescent="0.3">
      <c r="A113" t="s">
        <v>187</v>
      </c>
      <c r="B113" s="5">
        <v>46042</v>
      </c>
      <c r="C113" s="5">
        <v>46044</v>
      </c>
      <c r="D113">
        <v>120</v>
      </c>
      <c r="E113">
        <v>1033</v>
      </c>
      <c r="F113">
        <v>4</v>
      </c>
      <c r="G113">
        <v>2100</v>
      </c>
      <c r="H113">
        <v>10</v>
      </c>
      <c r="I113">
        <v>21000</v>
      </c>
      <c r="J113">
        <v>505</v>
      </c>
      <c r="K113">
        <v>1</v>
      </c>
    </row>
    <row r="114" spans="1:11" x14ac:dyDescent="0.3">
      <c r="A114" t="s">
        <v>187</v>
      </c>
      <c r="B114" s="5">
        <v>46042</v>
      </c>
      <c r="C114" s="5">
        <v>46044</v>
      </c>
      <c r="D114">
        <v>120</v>
      </c>
      <c r="E114">
        <v>1033</v>
      </c>
      <c r="F114">
        <v>9</v>
      </c>
      <c r="G114">
        <v>2400</v>
      </c>
      <c r="H114">
        <v>10</v>
      </c>
      <c r="I114">
        <v>24000</v>
      </c>
      <c r="J114">
        <v>505</v>
      </c>
      <c r="K114">
        <v>1</v>
      </c>
    </row>
    <row r="115" spans="1:11" x14ac:dyDescent="0.3">
      <c r="A115" t="s">
        <v>226</v>
      </c>
      <c r="B115" s="5">
        <v>46047</v>
      </c>
      <c r="C115" s="5">
        <v>46053</v>
      </c>
      <c r="D115">
        <v>119</v>
      </c>
      <c r="E115">
        <v>1034</v>
      </c>
      <c r="F115">
        <v>6</v>
      </c>
      <c r="G115">
        <v>3600</v>
      </c>
      <c r="H115">
        <v>10</v>
      </c>
      <c r="I115">
        <v>36000</v>
      </c>
      <c r="J115">
        <v>500</v>
      </c>
      <c r="K115">
        <v>1</v>
      </c>
    </row>
    <row r="116" spans="1:11" x14ac:dyDescent="0.3">
      <c r="A116" t="s">
        <v>226</v>
      </c>
      <c r="B116" s="5">
        <v>46047</v>
      </c>
      <c r="C116" s="5">
        <v>46053</v>
      </c>
      <c r="D116">
        <v>119</v>
      </c>
      <c r="E116">
        <v>1034</v>
      </c>
      <c r="F116">
        <v>2</v>
      </c>
      <c r="G116">
        <v>3600</v>
      </c>
      <c r="H116">
        <v>10</v>
      </c>
      <c r="I116">
        <v>36000</v>
      </c>
      <c r="J116">
        <v>500</v>
      </c>
      <c r="K116">
        <v>1</v>
      </c>
    </row>
    <row r="117" spans="1:11" x14ac:dyDescent="0.3">
      <c r="A117" t="s">
        <v>226</v>
      </c>
      <c r="B117" s="5">
        <v>46047</v>
      </c>
      <c r="C117" s="5">
        <v>46053</v>
      </c>
      <c r="D117">
        <v>119</v>
      </c>
      <c r="E117">
        <v>1034</v>
      </c>
      <c r="F117">
        <v>4</v>
      </c>
      <c r="G117">
        <v>3600</v>
      </c>
      <c r="H117">
        <v>10</v>
      </c>
      <c r="I117">
        <v>36000</v>
      </c>
      <c r="J117">
        <v>500</v>
      </c>
      <c r="K117">
        <v>1</v>
      </c>
    </row>
    <row r="118" spans="1:11" x14ac:dyDescent="0.3">
      <c r="A118" t="s">
        <v>226</v>
      </c>
      <c r="B118" s="5">
        <v>46047</v>
      </c>
      <c r="C118" s="5">
        <v>46053</v>
      </c>
      <c r="D118">
        <v>119</v>
      </c>
      <c r="E118">
        <v>1034</v>
      </c>
      <c r="F118">
        <v>5</v>
      </c>
      <c r="G118">
        <v>3600</v>
      </c>
      <c r="H118">
        <v>12</v>
      </c>
      <c r="I118">
        <v>43200</v>
      </c>
      <c r="J118">
        <v>500</v>
      </c>
      <c r="K118">
        <v>1</v>
      </c>
    </row>
    <row r="119" spans="1:11" x14ac:dyDescent="0.3">
      <c r="A119" t="s">
        <v>191</v>
      </c>
      <c r="B119" s="5">
        <v>46049</v>
      </c>
      <c r="C119" s="5">
        <v>46053</v>
      </c>
      <c r="D119">
        <v>121</v>
      </c>
      <c r="E119">
        <v>1035</v>
      </c>
      <c r="F119">
        <v>6</v>
      </c>
      <c r="G119">
        <v>3710</v>
      </c>
      <c r="H119">
        <v>10</v>
      </c>
      <c r="I119">
        <v>37100</v>
      </c>
      <c r="J119">
        <v>500</v>
      </c>
      <c r="K119">
        <v>1</v>
      </c>
    </row>
    <row r="120" spans="1:11" x14ac:dyDescent="0.3">
      <c r="A120" t="s">
        <v>191</v>
      </c>
      <c r="B120" s="5">
        <v>46049</v>
      </c>
      <c r="C120" s="5">
        <v>46053</v>
      </c>
      <c r="D120">
        <v>121</v>
      </c>
      <c r="E120">
        <v>1035</v>
      </c>
      <c r="F120">
        <v>1</v>
      </c>
      <c r="G120">
        <v>3710</v>
      </c>
      <c r="H120">
        <v>10</v>
      </c>
      <c r="I120">
        <v>37100</v>
      </c>
      <c r="J120">
        <v>500</v>
      </c>
      <c r="K120">
        <v>1</v>
      </c>
    </row>
    <row r="121" spans="1:11" x14ac:dyDescent="0.3">
      <c r="A121" t="s">
        <v>191</v>
      </c>
      <c r="B121" s="5">
        <v>46049</v>
      </c>
      <c r="C121" s="5">
        <v>46053</v>
      </c>
      <c r="D121">
        <v>121</v>
      </c>
      <c r="E121">
        <v>1035</v>
      </c>
      <c r="F121">
        <v>2</v>
      </c>
      <c r="G121">
        <v>3710</v>
      </c>
      <c r="H121">
        <v>8</v>
      </c>
      <c r="I121">
        <v>29680</v>
      </c>
      <c r="J121">
        <v>500</v>
      </c>
      <c r="K121">
        <v>1</v>
      </c>
    </row>
    <row r="122" spans="1:11" x14ac:dyDescent="0.3">
      <c r="A122" t="s">
        <v>191</v>
      </c>
      <c r="B122" s="5">
        <v>46049</v>
      </c>
      <c r="C122" s="5">
        <v>46053</v>
      </c>
      <c r="D122">
        <v>121</v>
      </c>
      <c r="E122">
        <v>1035</v>
      </c>
      <c r="F122">
        <v>3</v>
      </c>
      <c r="G122">
        <v>3710</v>
      </c>
      <c r="H122">
        <v>8</v>
      </c>
      <c r="I122">
        <v>29680</v>
      </c>
      <c r="J122">
        <v>500</v>
      </c>
      <c r="K122">
        <v>1</v>
      </c>
    </row>
    <row r="123" spans="1:11" x14ac:dyDescent="0.3">
      <c r="A123" t="s">
        <v>191</v>
      </c>
      <c r="B123" s="5">
        <v>46049</v>
      </c>
      <c r="C123" s="5">
        <v>46053</v>
      </c>
      <c r="D123">
        <v>121</v>
      </c>
      <c r="E123">
        <v>1035</v>
      </c>
      <c r="F123">
        <v>4</v>
      </c>
      <c r="G123">
        <v>3710</v>
      </c>
      <c r="H123">
        <v>6</v>
      </c>
      <c r="I123">
        <v>22260</v>
      </c>
      <c r="J123">
        <v>500</v>
      </c>
      <c r="K123">
        <v>1</v>
      </c>
    </row>
    <row r="124" spans="1:11" x14ac:dyDescent="0.3">
      <c r="A124" t="s">
        <v>191</v>
      </c>
      <c r="B124" s="5">
        <v>46049</v>
      </c>
      <c r="C124" s="5">
        <v>46053</v>
      </c>
      <c r="D124">
        <v>121</v>
      </c>
      <c r="E124">
        <v>1035</v>
      </c>
      <c r="F124">
        <v>5</v>
      </c>
      <c r="G124">
        <v>3710</v>
      </c>
      <c r="H124">
        <v>42</v>
      </c>
      <c r="I124">
        <v>155820</v>
      </c>
      <c r="J124">
        <v>500</v>
      </c>
      <c r="K124">
        <v>1</v>
      </c>
    </row>
    <row r="125" spans="1:11" x14ac:dyDescent="0.3">
      <c r="A125" t="s">
        <v>197</v>
      </c>
      <c r="B125" s="5">
        <v>46058</v>
      </c>
      <c r="C125" s="5">
        <v>46062</v>
      </c>
      <c r="D125">
        <v>121</v>
      </c>
      <c r="E125">
        <v>1035</v>
      </c>
      <c r="F125">
        <v>2</v>
      </c>
      <c r="G125">
        <v>4000</v>
      </c>
      <c r="H125">
        <v>25</v>
      </c>
      <c r="I125">
        <v>100000</v>
      </c>
      <c r="J125">
        <v>500</v>
      </c>
      <c r="K125">
        <v>1</v>
      </c>
    </row>
    <row r="126" spans="1:11" x14ac:dyDescent="0.3">
      <c r="A126" t="s">
        <v>198</v>
      </c>
      <c r="B126" s="5">
        <v>46074</v>
      </c>
      <c r="C126" s="5">
        <v>46076</v>
      </c>
      <c r="D126">
        <v>122</v>
      </c>
      <c r="E126">
        <v>1036</v>
      </c>
      <c r="F126">
        <v>2</v>
      </c>
      <c r="G126">
        <v>3000</v>
      </c>
      <c r="H126">
        <v>60</v>
      </c>
      <c r="I126">
        <v>180000</v>
      </c>
      <c r="J126">
        <v>500</v>
      </c>
      <c r="K126">
        <v>2</v>
      </c>
    </row>
    <row r="127" spans="1:11" x14ac:dyDescent="0.3">
      <c r="A127" t="s">
        <v>199</v>
      </c>
      <c r="B127" s="5">
        <v>46084</v>
      </c>
      <c r="C127" s="5">
        <v>46086</v>
      </c>
      <c r="D127">
        <v>123</v>
      </c>
      <c r="E127">
        <v>1037</v>
      </c>
      <c r="F127">
        <v>3</v>
      </c>
      <c r="G127">
        <v>3000</v>
      </c>
      <c r="H127">
        <v>30</v>
      </c>
      <c r="I127">
        <v>90000</v>
      </c>
      <c r="J127">
        <v>515</v>
      </c>
      <c r="K127">
        <v>2</v>
      </c>
    </row>
    <row r="128" spans="1:11" x14ac:dyDescent="0.3">
      <c r="A128" t="s">
        <v>200</v>
      </c>
      <c r="B128" s="5">
        <v>46089</v>
      </c>
      <c r="C128" s="5">
        <v>46091</v>
      </c>
      <c r="D128">
        <v>123</v>
      </c>
      <c r="E128">
        <v>1037</v>
      </c>
      <c r="F128">
        <v>3</v>
      </c>
      <c r="G128">
        <v>3000</v>
      </c>
      <c r="H128">
        <v>35</v>
      </c>
      <c r="I128">
        <v>105000</v>
      </c>
      <c r="J128">
        <v>515</v>
      </c>
      <c r="K128">
        <v>2</v>
      </c>
    </row>
    <row r="129" spans="1:11" x14ac:dyDescent="0.3">
      <c r="A129" t="s">
        <v>201</v>
      </c>
      <c r="B129" s="5">
        <v>46090</v>
      </c>
      <c r="C129" s="5">
        <v>46094</v>
      </c>
      <c r="D129">
        <v>111</v>
      </c>
      <c r="E129">
        <v>1021</v>
      </c>
      <c r="F129">
        <v>15</v>
      </c>
      <c r="G129">
        <v>4000</v>
      </c>
      <c r="H129">
        <v>15</v>
      </c>
      <c r="I129">
        <v>60000</v>
      </c>
      <c r="J129">
        <v>525</v>
      </c>
      <c r="K129">
        <v>1</v>
      </c>
    </row>
    <row r="130" spans="1:11" x14ac:dyDescent="0.3">
      <c r="A130" t="s">
        <v>201</v>
      </c>
      <c r="B130" s="5">
        <v>46090</v>
      </c>
      <c r="C130" s="5">
        <v>46094</v>
      </c>
      <c r="D130">
        <v>111</v>
      </c>
      <c r="E130">
        <v>1021</v>
      </c>
      <c r="F130">
        <v>12</v>
      </c>
      <c r="G130">
        <v>4000</v>
      </c>
      <c r="H130">
        <v>15</v>
      </c>
      <c r="I130">
        <v>60000</v>
      </c>
      <c r="J130">
        <v>525</v>
      </c>
      <c r="K130">
        <v>1</v>
      </c>
    </row>
    <row r="131" spans="1:11" x14ac:dyDescent="0.3">
      <c r="A131" t="s">
        <v>202</v>
      </c>
      <c r="B131" s="5">
        <v>46092</v>
      </c>
      <c r="C131" s="5">
        <v>46094</v>
      </c>
      <c r="D131">
        <v>123</v>
      </c>
      <c r="E131">
        <v>1037</v>
      </c>
      <c r="F131">
        <v>3</v>
      </c>
      <c r="G131">
        <v>3000</v>
      </c>
      <c r="H131">
        <v>35</v>
      </c>
      <c r="I131">
        <v>105000</v>
      </c>
      <c r="J131">
        <v>515</v>
      </c>
      <c r="K131">
        <v>2</v>
      </c>
    </row>
    <row r="132" spans="1:11" x14ac:dyDescent="0.3">
      <c r="A132" t="s">
        <v>203</v>
      </c>
      <c r="B132" s="5">
        <v>46094</v>
      </c>
      <c r="C132" s="5">
        <v>46096</v>
      </c>
      <c r="D132">
        <v>123</v>
      </c>
      <c r="E132">
        <v>1037</v>
      </c>
      <c r="F132">
        <v>3</v>
      </c>
      <c r="G132">
        <v>3000</v>
      </c>
      <c r="H132">
        <v>35</v>
      </c>
      <c r="I132">
        <v>105000</v>
      </c>
      <c r="J132">
        <v>515</v>
      </c>
      <c r="K13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D3AB-2C91-4926-A9F7-F9C5B72DAFB2}">
  <dimension ref="A1:D24"/>
  <sheetViews>
    <sheetView workbookViewId="0">
      <selection activeCell="J9" sqref="J9"/>
    </sheetView>
  </sheetViews>
  <sheetFormatPr defaultRowHeight="14.4" x14ac:dyDescent="0.3"/>
  <cols>
    <col min="1" max="1" width="13.5546875" bestFit="1" customWidth="1"/>
    <col min="2" max="2" width="32.44140625" bestFit="1" customWidth="1"/>
    <col min="3" max="3" width="20.109375" bestFit="1" customWidth="1"/>
    <col min="4" max="4" width="16" bestFit="1" customWidth="1"/>
  </cols>
  <sheetData>
    <row r="1" spans="1:4" x14ac:dyDescent="0.3">
      <c r="A1" t="s">
        <v>249</v>
      </c>
      <c r="B1" t="s">
        <v>2</v>
      </c>
      <c r="C1" t="s">
        <v>3</v>
      </c>
      <c r="D1" t="s">
        <v>8</v>
      </c>
    </row>
    <row r="2" spans="1:4" x14ac:dyDescent="0.3">
      <c r="A2">
        <v>101</v>
      </c>
      <c r="B2" t="s">
        <v>13</v>
      </c>
      <c r="C2" t="s">
        <v>14</v>
      </c>
      <c r="D2" t="s">
        <v>237</v>
      </c>
    </row>
    <row r="3" spans="1:4" x14ac:dyDescent="0.3">
      <c r="A3">
        <v>102</v>
      </c>
      <c r="B3" t="s">
        <v>21</v>
      </c>
      <c r="C3" t="s">
        <v>22</v>
      </c>
      <c r="D3" t="s">
        <v>239</v>
      </c>
    </row>
    <row r="4" spans="1:4" x14ac:dyDescent="0.3">
      <c r="A4">
        <v>103</v>
      </c>
      <c r="B4" t="s">
        <v>27</v>
      </c>
      <c r="C4" t="s">
        <v>28</v>
      </c>
      <c r="D4" t="s">
        <v>238</v>
      </c>
    </row>
    <row r="5" spans="1:4" x14ac:dyDescent="0.3">
      <c r="A5">
        <v>104</v>
      </c>
      <c r="B5" t="s">
        <v>33</v>
      </c>
      <c r="C5" t="s">
        <v>34</v>
      </c>
      <c r="D5" t="s">
        <v>238</v>
      </c>
    </row>
    <row r="6" spans="1:4" x14ac:dyDescent="0.3">
      <c r="A6">
        <v>105</v>
      </c>
      <c r="B6" t="s">
        <v>37</v>
      </c>
      <c r="C6" t="s">
        <v>38</v>
      </c>
      <c r="D6" t="s">
        <v>231</v>
      </c>
    </row>
    <row r="7" spans="1:4" x14ac:dyDescent="0.3">
      <c r="A7">
        <v>106</v>
      </c>
      <c r="B7" t="s">
        <v>43</v>
      </c>
      <c r="C7" t="s">
        <v>44</v>
      </c>
      <c r="D7" t="s">
        <v>238</v>
      </c>
    </row>
    <row r="8" spans="1:4" x14ac:dyDescent="0.3">
      <c r="A8">
        <v>107</v>
      </c>
      <c r="B8" t="s">
        <v>51</v>
      </c>
      <c r="C8" t="s">
        <v>52</v>
      </c>
      <c r="D8" t="s">
        <v>238</v>
      </c>
    </row>
    <row r="9" spans="1:4" x14ac:dyDescent="0.3">
      <c r="A9">
        <v>108</v>
      </c>
      <c r="B9" t="s">
        <v>69</v>
      </c>
      <c r="C9" t="s">
        <v>70</v>
      </c>
      <c r="D9" t="s">
        <v>232</v>
      </c>
    </row>
    <row r="10" spans="1:4" x14ac:dyDescent="0.3">
      <c r="A10">
        <v>109</v>
      </c>
      <c r="B10" t="s">
        <v>87</v>
      </c>
      <c r="C10" t="s">
        <v>88</v>
      </c>
      <c r="D10" t="s">
        <v>235</v>
      </c>
    </row>
    <row r="11" spans="1:4" x14ac:dyDescent="0.3">
      <c r="A11">
        <v>110</v>
      </c>
      <c r="B11" t="s">
        <v>93</v>
      </c>
      <c r="C11" t="s">
        <v>128</v>
      </c>
      <c r="D11" t="s">
        <v>232</v>
      </c>
    </row>
    <row r="12" spans="1:4" x14ac:dyDescent="0.3">
      <c r="A12">
        <v>111</v>
      </c>
      <c r="B12" t="s">
        <v>110</v>
      </c>
      <c r="C12" t="s">
        <v>111</v>
      </c>
      <c r="D12" t="s">
        <v>238</v>
      </c>
    </row>
    <row r="13" spans="1:4" x14ac:dyDescent="0.3">
      <c r="A13">
        <v>112</v>
      </c>
      <c r="B13" t="s">
        <v>119</v>
      </c>
      <c r="C13" t="s">
        <v>120</v>
      </c>
      <c r="D13" t="s">
        <v>231</v>
      </c>
    </row>
    <row r="14" spans="1:4" x14ac:dyDescent="0.3">
      <c r="A14">
        <v>113</v>
      </c>
      <c r="B14" t="s">
        <v>134</v>
      </c>
      <c r="C14" t="s">
        <v>135</v>
      </c>
      <c r="D14" t="s">
        <v>237</v>
      </c>
    </row>
    <row r="15" spans="1:4" x14ac:dyDescent="0.3">
      <c r="A15">
        <v>114</v>
      </c>
      <c r="B15" t="s">
        <v>141</v>
      </c>
      <c r="C15" t="s">
        <v>142</v>
      </c>
      <c r="D15" t="s">
        <v>238</v>
      </c>
    </row>
    <row r="16" spans="1:4" x14ac:dyDescent="0.3">
      <c r="A16">
        <v>115</v>
      </c>
      <c r="B16" t="s">
        <v>152</v>
      </c>
      <c r="C16" t="s">
        <v>153</v>
      </c>
      <c r="D16" t="s">
        <v>239</v>
      </c>
    </row>
    <row r="17" spans="1:4" x14ac:dyDescent="0.3">
      <c r="A17">
        <v>116</v>
      </c>
      <c r="B17" t="s">
        <v>157</v>
      </c>
      <c r="C17" t="s">
        <v>158</v>
      </c>
      <c r="D17" t="s">
        <v>238</v>
      </c>
    </row>
    <row r="18" spans="1:4" x14ac:dyDescent="0.3">
      <c r="A18">
        <v>117</v>
      </c>
      <c r="B18" t="s">
        <v>163</v>
      </c>
      <c r="C18" t="s">
        <v>164</v>
      </c>
      <c r="D18" t="s">
        <v>231</v>
      </c>
    </row>
    <row r="19" spans="1:4" x14ac:dyDescent="0.3">
      <c r="A19">
        <v>118</v>
      </c>
      <c r="B19" t="s">
        <v>176</v>
      </c>
      <c r="C19" t="s">
        <v>177</v>
      </c>
      <c r="D19" t="s">
        <v>238</v>
      </c>
    </row>
    <row r="20" spans="1:4" x14ac:dyDescent="0.3">
      <c r="A20">
        <v>119</v>
      </c>
      <c r="B20" t="s">
        <v>183</v>
      </c>
      <c r="C20" t="s">
        <v>184</v>
      </c>
      <c r="D20" t="s">
        <v>238</v>
      </c>
    </row>
    <row r="21" spans="1:4" x14ac:dyDescent="0.3">
      <c r="A21">
        <v>120</v>
      </c>
      <c r="B21" t="s">
        <v>188</v>
      </c>
      <c r="C21" t="s">
        <v>189</v>
      </c>
      <c r="D21" t="s">
        <v>238</v>
      </c>
    </row>
    <row r="22" spans="1:4" x14ac:dyDescent="0.3">
      <c r="A22">
        <v>121</v>
      </c>
      <c r="B22" t="s">
        <v>192</v>
      </c>
      <c r="C22" t="s">
        <v>193</v>
      </c>
      <c r="D22" t="s">
        <v>237</v>
      </c>
    </row>
    <row r="23" spans="1:4" x14ac:dyDescent="0.3">
      <c r="A23">
        <v>122</v>
      </c>
      <c r="B23" t="s">
        <v>204</v>
      </c>
      <c r="C23" t="s">
        <v>205</v>
      </c>
      <c r="D23" t="s">
        <v>238</v>
      </c>
    </row>
    <row r="24" spans="1:4" x14ac:dyDescent="0.3">
      <c r="A24">
        <v>123</v>
      </c>
      <c r="B24" t="s">
        <v>207</v>
      </c>
      <c r="C24" t="s">
        <v>208</v>
      </c>
      <c r="D24" t="s">
        <v>238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557E-7CE2-4F9D-ADA7-0F4E8CBC985A}">
  <dimension ref="A1:D16"/>
  <sheetViews>
    <sheetView workbookViewId="0">
      <selection activeCell="G9" sqref="G9"/>
    </sheetView>
  </sheetViews>
  <sheetFormatPr defaultRowHeight="14.4" x14ac:dyDescent="0.3"/>
  <cols>
    <col min="1" max="1" width="12.109375" bestFit="1" customWidth="1"/>
    <col min="2" max="2" width="17" bestFit="1" customWidth="1"/>
    <col min="3" max="3" width="18" bestFit="1" customWidth="1"/>
    <col min="4" max="4" width="17.88671875" bestFit="1" customWidth="1"/>
  </cols>
  <sheetData>
    <row r="1" spans="1:4" x14ac:dyDescent="0.3">
      <c r="A1" t="s">
        <v>252</v>
      </c>
      <c r="B1" t="s">
        <v>218</v>
      </c>
      <c r="C1" t="s">
        <v>241</v>
      </c>
      <c r="D1" t="s">
        <v>242</v>
      </c>
    </row>
    <row r="2" spans="1:4" x14ac:dyDescent="0.3">
      <c r="A2">
        <v>1</v>
      </c>
      <c r="B2" t="s">
        <v>225</v>
      </c>
      <c r="C2" t="s">
        <v>243</v>
      </c>
      <c r="D2" t="s">
        <v>247</v>
      </c>
    </row>
    <row r="3" spans="1:4" x14ac:dyDescent="0.3">
      <c r="A3">
        <v>2</v>
      </c>
      <c r="B3" t="s">
        <v>211</v>
      </c>
      <c r="C3" t="s">
        <v>244</v>
      </c>
      <c r="D3" t="s">
        <v>247</v>
      </c>
    </row>
    <row r="4" spans="1:4" x14ac:dyDescent="0.3">
      <c r="A4">
        <v>3</v>
      </c>
      <c r="B4" t="s">
        <v>217</v>
      </c>
      <c r="C4" t="s">
        <v>244</v>
      </c>
      <c r="D4" t="s">
        <v>247</v>
      </c>
    </row>
    <row r="5" spans="1:4" x14ac:dyDescent="0.3">
      <c r="A5">
        <v>4</v>
      </c>
      <c r="B5" t="s">
        <v>213</v>
      </c>
      <c r="C5" t="s">
        <v>245</v>
      </c>
      <c r="D5" t="s">
        <v>247</v>
      </c>
    </row>
    <row r="6" spans="1:4" x14ac:dyDescent="0.3">
      <c r="A6">
        <v>5</v>
      </c>
      <c r="B6" t="s">
        <v>212</v>
      </c>
      <c r="C6" t="s">
        <v>245</v>
      </c>
      <c r="D6" t="s">
        <v>247</v>
      </c>
    </row>
    <row r="7" spans="1:4" x14ac:dyDescent="0.3">
      <c r="A7">
        <v>6</v>
      </c>
      <c r="B7" t="s">
        <v>210</v>
      </c>
      <c r="C7" t="s">
        <v>243</v>
      </c>
      <c r="D7" t="s">
        <v>247</v>
      </c>
    </row>
    <row r="8" spans="1:4" x14ac:dyDescent="0.3">
      <c r="A8">
        <v>7</v>
      </c>
      <c r="B8" t="s">
        <v>214</v>
      </c>
      <c r="C8" t="s">
        <v>243</v>
      </c>
      <c r="D8" t="s">
        <v>247</v>
      </c>
    </row>
    <row r="9" spans="1:4" x14ac:dyDescent="0.3">
      <c r="A9">
        <v>8</v>
      </c>
      <c r="B9" t="s">
        <v>223</v>
      </c>
      <c r="C9" t="s">
        <v>246</v>
      </c>
      <c r="D9" t="s">
        <v>248</v>
      </c>
    </row>
    <row r="10" spans="1:4" x14ac:dyDescent="0.3">
      <c r="A10">
        <v>9</v>
      </c>
      <c r="B10" t="s">
        <v>215</v>
      </c>
      <c r="C10" t="s">
        <v>245</v>
      </c>
      <c r="D10" t="s">
        <v>247</v>
      </c>
    </row>
    <row r="11" spans="1:4" x14ac:dyDescent="0.3">
      <c r="A11">
        <v>10</v>
      </c>
      <c r="B11" t="s">
        <v>220</v>
      </c>
      <c r="C11" t="s">
        <v>246</v>
      </c>
      <c r="D11" t="s">
        <v>248</v>
      </c>
    </row>
    <row r="12" spans="1:4" x14ac:dyDescent="0.3">
      <c r="A12">
        <v>11</v>
      </c>
      <c r="B12" t="s">
        <v>216</v>
      </c>
      <c r="C12" t="s">
        <v>244</v>
      </c>
      <c r="D12" t="s">
        <v>247</v>
      </c>
    </row>
    <row r="13" spans="1:4" x14ac:dyDescent="0.3">
      <c r="A13">
        <v>12</v>
      </c>
      <c r="B13" t="s">
        <v>219</v>
      </c>
      <c r="C13" t="s">
        <v>243</v>
      </c>
      <c r="D13" t="s">
        <v>247</v>
      </c>
    </row>
    <row r="14" spans="1:4" x14ac:dyDescent="0.3">
      <c r="A14">
        <v>13</v>
      </c>
      <c r="B14" t="s">
        <v>222</v>
      </c>
      <c r="C14" t="s">
        <v>246</v>
      </c>
      <c r="D14" t="s">
        <v>248</v>
      </c>
    </row>
    <row r="15" spans="1:4" x14ac:dyDescent="0.3">
      <c r="A15">
        <v>14</v>
      </c>
      <c r="B15" t="s">
        <v>221</v>
      </c>
      <c r="C15" t="s">
        <v>245</v>
      </c>
      <c r="D15" t="s">
        <v>247</v>
      </c>
    </row>
    <row r="16" spans="1:4" x14ac:dyDescent="0.3">
      <c r="A16">
        <v>15</v>
      </c>
      <c r="B16" t="s">
        <v>224</v>
      </c>
      <c r="C16" t="s">
        <v>243</v>
      </c>
      <c r="D16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9963-FC47-449A-BA4E-B4151D64578C}">
  <dimension ref="A1:E38"/>
  <sheetViews>
    <sheetView workbookViewId="0"/>
  </sheetViews>
  <sheetFormatPr defaultRowHeight="14.4" x14ac:dyDescent="0.3"/>
  <cols>
    <col min="1" max="1" width="14.6640625" bestFit="1" customWidth="1"/>
    <col min="2" max="2" width="16.6640625" bestFit="1" customWidth="1"/>
    <col min="3" max="3" width="19.21875" bestFit="1" customWidth="1"/>
    <col min="4" max="4" width="7.5546875" bestFit="1" customWidth="1"/>
    <col min="5" max="5" width="21.109375" bestFit="1" customWidth="1"/>
  </cols>
  <sheetData>
    <row r="1" spans="1:5" x14ac:dyDescent="0.3">
      <c r="A1" t="s">
        <v>251</v>
      </c>
      <c r="B1" t="s">
        <v>4</v>
      </c>
      <c r="C1" t="s">
        <v>5</v>
      </c>
      <c r="D1" t="s">
        <v>6</v>
      </c>
      <c r="E1" t="s">
        <v>240</v>
      </c>
    </row>
    <row r="2" spans="1:5" x14ac:dyDescent="0.3">
      <c r="A2">
        <v>1001</v>
      </c>
      <c r="B2" t="s">
        <v>15</v>
      </c>
      <c r="C2" t="s">
        <v>16</v>
      </c>
      <c r="D2" t="s">
        <v>17</v>
      </c>
      <c r="E2">
        <v>214</v>
      </c>
    </row>
    <row r="3" spans="1:5" x14ac:dyDescent="0.3">
      <c r="A3">
        <v>1002</v>
      </c>
      <c r="B3" t="s">
        <v>23</v>
      </c>
      <c r="C3" t="s">
        <v>24</v>
      </c>
      <c r="D3" t="s">
        <v>25</v>
      </c>
      <c r="E3">
        <v>524</v>
      </c>
    </row>
    <row r="4" spans="1:5" x14ac:dyDescent="0.3">
      <c r="A4">
        <v>1003</v>
      </c>
      <c r="B4" t="s">
        <v>29</v>
      </c>
      <c r="C4" t="s">
        <v>30</v>
      </c>
      <c r="D4" t="s">
        <v>17</v>
      </c>
      <c r="E4">
        <v>230</v>
      </c>
    </row>
    <row r="5" spans="1:5" x14ac:dyDescent="0.3">
      <c r="A5">
        <v>1004</v>
      </c>
      <c r="B5" t="s">
        <v>35</v>
      </c>
      <c r="C5" t="s">
        <v>16</v>
      </c>
      <c r="D5" t="s">
        <v>17</v>
      </c>
      <c r="E5">
        <v>196</v>
      </c>
    </row>
    <row r="6" spans="1:5" x14ac:dyDescent="0.3">
      <c r="A6">
        <v>1005</v>
      </c>
      <c r="B6" t="s">
        <v>39</v>
      </c>
      <c r="C6" t="s">
        <v>40</v>
      </c>
      <c r="D6" t="s">
        <v>41</v>
      </c>
      <c r="E6">
        <v>225</v>
      </c>
    </row>
    <row r="7" spans="1:5" x14ac:dyDescent="0.3">
      <c r="A7">
        <v>1006</v>
      </c>
      <c r="B7" t="s">
        <v>45</v>
      </c>
      <c r="C7" t="s">
        <v>46</v>
      </c>
      <c r="D7" t="s">
        <v>47</v>
      </c>
      <c r="E7">
        <v>205</v>
      </c>
    </row>
    <row r="8" spans="1:5" x14ac:dyDescent="0.3">
      <c r="A8">
        <v>1007</v>
      </c>
      <c r="B8" t="s">
        <v>53</v>
      </c>
      <c r="C8" t="s">
        <v>54</v>
      </c>
      <c r="D8" t="s">
        <v>25</v>
      </c>
      <c r="E8">
        <v>806</v>
      </c>
    </row>
    <row r="9" spans="1:5" x14ac:dyDescent="0.3">
      <c r="A9">
        <v>1008</v>
      </c>
      <c r="B9" t="s">
        <v>56</v>
      </c>
      <c r="C9" t="s">
        <v>57</v>
      </c>
      <c r="D9" t="s">
        <v>25</v>
      </c>
      <c r="E9">
        <v>320</v>
      </c>
    </row>
    <row r="10" spans="1:5" x14ac:dyDescent="0.3">
      <c r="A10">
        <v>1009</v>
      </c>
      <c r="B10" t="s">
        <v>60</v>
      </c>
      <c r="C10" t="s">
        <v>57</v>
      </c>
      <c r="D10" t="s">
        <v>25</v>
      </c>
      <c r="E10">
        <v>232</v>
      </c>
    </row>
    <row r="11" spans="1:5" x14ac:dyDescent="0.3">
      <c r="A11">
        <v>1010</v>
      </c>
      <c r="B11" t="s">
        <v>64</v>
      </c>
      <c r="C11" t="s">
        <v>65</v>
      </c>
      <c r="D11" t="s">
        <v>25</v>
      </c>
      <c r="E11">
        <v>509</v>
      </c>
    </row>
    <row r="12" spans="1:5" x14ac:dyDescent="0.3">
      <c r="A12">
        <v>1011</v>
      </c>
      <c r="B12" t="s">
        <v>71</v>
      </c>
      <c r="C12" t="s">
        <v>46</v>
      </c>
      <c r="D12" t="s">
        <v>47</v>
      </c>
      <c r="E12">
        <v>190</v>
      </c>
    </row>
    <row r="13" spans="1:5" x14ac:dyDescent="0.3">
      <c r="A13">
        <v>1012</v>
      </c>
      <c r="B13" t="s">
        <v>74</v>
      </c>
      <c r="C13" t="s">
        <v>74</v>
      </c>
      <c r="D13" t="s">
        <v>25</v>
      </c>
      <c r="E13">
        <v>386</v>
      </c>
    </row>
    <row r="14" spans="1:5" x14ac:dyDescent="0.3">
      <c r="A14">
        <v>1013</v>
      </c>
      <c r="B14" t="s">
        <v>77</v>
      </c>
      <c r="C14" t="s">
        <v>78</v>
      </c>
      <c r="D14" t="s">
        <v>25</v>
      </c>
      <c r="E14">
        <v>307</v>
      </c>
    </row>
    <row r="15" spans="1:5" x14ac:dyDescent="0.3">
      <c r="A15">
        <v>1014</v>
      </c>
      <c r="B15" t="s">
        <v>80</v>
      </c>
      <c r="C15" t="s">
        <v>57</v>
      </c>
      <c r="D15" t="s">
        <v>25</v>
      </c>
      <c r="E15">
        <v>323</v>
      </c>
    </row>
    <row r="16" spans="1:5" x14ac:dyDescent="0.3">
      <c r="A16">
        <v>1015</v>
      </c>
      <c r="B16" t="s">
        <v>84</v>
      </c>
      <c r="C16" t="s">
        <v>57</v>
      </c>
      <c r="D16" t="s">
        <v>25</v>
      </c>
      <c r="E16">
        <v>326</v>
      </c>
    </row>
    <row r="17" spans="1:5" x14ac:dyDescent="0.3">
      <c r="A17">
        <v>1016</v>
      </c>
      <c r="B17" t="s">
        <v>89</v>
      </c>
      <c r="C17" t="s">
        <v>90</v>
      </c>
      <c r="D17" t="s">
        <v>41</v>
      </c>
      <c r="E17">
        <v>362</v>
      </c>
    </row>
    <row r="18" spans="1:5" x14ac:dyDescent="0.3">
      <c r="A18">
        <v>1017</v>
      </c>
      <c r="B18" t="s">
        <v>95</v>
      </c>
      <c r="C18" t="s">
        <v>96</v>
      </c>
      <c r="D18" t="s">
        <v>17</v>
      </c>
      <c r="E18">
        <v>256</v>
      </c>
    </row>
    <row r="19" spans="1:5" x14ac:dyDescent="0.3">
      <c r="A19">
        <v>1018</v>
      </c>
      <c r="B19" t="s">
        <v>98</v>
      </c>
      <c r="C19" t="s">
        <v>57</v>
      </c>
      <c r="D19" t="s">
        <v>25</v>
      </c>
      <c r="E19">
        <v>306</v>
      </c>
    </row>
    <row r="20" spans="1:5" x14ac:dyDescent="0.3">
      <c r="A20">
        <v>1019</v>
      </c>
      <c r="B20" t="s">
        <v>101</v>
      </c>
      <c r="C20" t="s">
        <v>102</v>
      </c>
      <c r="D20" t="s">
        <v>103</v>
      </c>
      <c r="E20">
        <v>595</v>
      </c>
    </row>
    <row r="21" spans="1:5" x14ac:dyDescent="0.3">
      <c r="A21">
        <v>1020</v>
      </c>
      <c r="B21" t="s">
        <v>107</v>
      </c>
      <c r="C21" t="s">
        <v>108</v>
      </c>
      <c r="D21" t="s">
        <v>17</v>
      </c>
      <c r="E21">
        <v>180</v>
      </c>
    </row>
    <row r="22" spans="1:5" x14ac:dyDescent="0.3">
      <c r="A22">
        <v>1021</v>
      </c>
      <c r="B22" t="s">
        <v>112</v>
      </c>
      <c r="C22" t="s">
        <v>113</v>
      </c>
      <c r="D22" t="s">
        <v>17</v>
      </c>
      <c r="E22">
        <v>475</v>
      </c>
    </row>
    <row r="23" spans="1:5" x14ac:dyDescent="0.3">
      <c r="A23">
        <v>1022</v>
      </c>
      <c r="B23" t="s">
        <v>116</v>
      </c>
      <c r="C23" t="s">
        <v>117</v>
      </c>
      <c r="D23" t="s">
        <v>17</v>
      </c>
      <c r="E23">
        <v>263</v>
      </c>
    </row>
    <row r="24" spans="1:5" x14ac:dyDescent="0.3">
      <c r="A24">
        <v>1023</v>
      </c>
      <c r="B24" t="s">
        <v>121</v>
      </c>
      <c r="C24" t="s">
        <v>122</v>
      </c>
      <c r="D24" t="s">
        <v>41</v>
      </c>
      <c r="E24">
        <v>350</v>
      </c>
    </row>
    <row r="25" spans="1:5" x14ac:dyDescent="0.3">
      <c r="A25">
        <v>1024</v>
      </c>
      <c r="B25" t="s">
        <v>125</v>
      </c>
      <c r="C25" t="s">
        <v>126</v>
      </c>
      <c r="D25" t="s">
        <v>17</v>
      </c>
      <c r="E25">
        <v>275</v>
      </c>
    </row>
    <row r="26" spans="1:5" x14ac:dyDescent="0.3">
      <c r="A26">
        <v>1025</v>
      </c>
      <c r="B26" t="s">
        <v>136</v>
      </c>
      <c r="C26" t="s">
        <v>137</v>
      </c>
      <c r="D26" t="s">
        <v>41</v>
      </c>
      <c r="E26">
        <v>392</v>
      </c>
    </row>
    <row r="27" spans="1:5" x14ac:dyDescent="0.3">
      <c r="A27">
        <v>1026</v>
      </c>
      <c r="B27" t="s">
        <v>143</v>
      </c>
      <c r="C27" t="s">
        <v>144</v>
      </c>
      <c r="D27" t="s">
        <v>41</v>
      </c>
      <c r="E27">
        <v>289</v>
      </c>
    </row>
    <row r="28" spans="1:5" x14ac:dyDescent="0.3">
      <c r="A28">
        <v>1027</v>
      </c>
      <c r="B28" t="s">
        <v>154</v>
      </c>
      <c r="C28" t="s">
        <v>155</v>
      </c>
      <c r="D28" t="s">
        <v>47</v>
      </c>
      <c r="E28">
        <v>40</v>
      </c>
    </row>
    <row r="29" spans="1:5" x14ac:dyDescent="0.3">
      <c r="A29">
        <v>1028</v>
      </c>
      <c r="B29" t="s">
        <v>159</v>
      </c>
      <c r="C29" t="s">
        <v>160</v>
      </c>
      <c r="D29" t="s">
        <v>17</v>
      </c>
      <c r="E29">
        <v>594</v>
      </c>
    </row>
    <row r="30" spans="1:5" x14ac:dyDescent="0.3">
      <c r="A30">
        <v>1029</v>
      </c>
      <c r="B30" t="s">
        <v>165</v>
      </c>
      <c r="C30" t="s">
        <v>166</v>
      </c>
      <c r="D30" t="s">
        <v>17</v>
      </c>
      <c r="E30">
        <v>85</v>
      </c>
    </row>
    <row r="31" spans="1:5" x14ac:dyDescent="0.3">
      <c r="A31">
        <v>1030</v>
      </c>
      <c r="B31" t="s">
        <v>169</v>
      </c>
      <c r="C31" t="s">
        <v>170</v>
      </c>
      <c r="D31" t="s">
        <v>25</v>
      </c>
      <c r="E31">
        <v>522</v>
      </c>
    </row>
    <row r="32" spans="1:5" x14ac:dyDescent="0.3">
      <c r="A32">
        <v>1031</v>
      </c>
      <c r="B32" t="s">
        <v>178</v>
      </c>
      <c r="C32" t="s">
        <v>179</v>
      </c>
      <c r="D32" t="s">
        <v>17</v>
      </c>
      <c r="E32">
        <v>242</v>
      </c>
    </row>
    <row r="33" spans="1:5" x14ac:dyDescent="0.3">
      <c r="A33">
        <v>1032</v>
      </c>
      <c r="B33" t="s">
        <v>185</v>
      </c>
      <c r="C33" t="s">
        <v>186</v>
      </c>
      <c r="D33" t="s">
        <v>25</v>
      </c>
      <c r="E33">
        <v>471</v>
      </c>
    </row>
    <row r="34" spans="1:5" x14ac:dyDescent="0.3">
      <c r="A34">
        <v>1033</v>
      </c>
      <c r="B34" t="s">
        <v>190</v>
      </c>
      <c r="C34" t="s">
        <v>179</v>
      </c>
      <c r="D34" t="s">
        <v>17</v>
      </c>
      <c r="E34">
        <v>255</v>
      </c>
    </row>
    <row r="35" spans="1:5" x14ac:dyDescent="0.3">
      <c r="A35">
        <v>1034</v>
      </c>
      <c r="B35" t="s">
        <v>227</v>
      </c>
      <c r="C35" t="s">
        <v>227</v>
      </c>
      <c r="D35" t="s">
        <v>196</v>
      </c>
      <c r="E35">
        <v>903</v>
      </c>
    </row>
    <row r="36" spans="1:5" x14ac:dyDescent="0.3">
      <c r="A36">
        <v>1035</v>
      </c>
      <c r="B36" t="s">
        <v>194</v>
      </c>
      <c r="C36" t="s">
        <v>195</v>
      </c>
      <c r="D36" t="s">
        <v>196</v>
      </c>
      <c r="E36">
        <v>500</v>
      </c>
    </row>
    <row r="37" spans="1:5" x14ac:dyDescent="0.3">
      <c r="A37">
        <v>1036</v>
      </c>
      <c r="B37" t="s">
        <v>206</v>
      </c>
      <c r="C37" t="s">
        <v>126</v>
      </c>
      <c r="D37" t="s">
        <v>17</v>
      </c>
      <c r="E37">
        <v>320</v>
      </c>
    </row>
    <row r="38" spans="1:5" x14ac:dyDescent="0.3">
      <c r="A38">
        <v>1037</v>
      </c>
      <c r="B38" t="s">
        <v>209</v>
      </c>
      <c r="C38" t="s">
        <v>179</v>
      </c>
      <c r="D38" t="s">
        <v>17</v>
      </c>
      <c r="E38">
        <v>235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B96F-5593-41B7-BBA3-0E9BA9B332D8}">
  <dimension ref="A1:B8"/>
  <sheetViews>
    <sheetView workbookViewId="0"/>
  </sheetViews>
  <sheetFormatPr defaultRowHeight="14.4" x14ac:dyDescent="0.3"/>
  <cols>
    <col min="1" max="1" width="15" bestFit="1" customWidth="1"/>
    <col min="2" max="2" width="18.5546875" bestFit="1" customWidth="1"/>
  </cols>
  <sheetData>
    <row r="1" spans="1:2" x14ac:dyDescent="0.3">
      <c r="A1" t="s">
        <v>250</v>
      </c>
      <c r="B1" t="s">
        <v>234</v>
      </c>
    </row>
    <row r="2" spans="1:2" x14ac:dyDescent="0.3">
      <c r="A2">
        <v>500</v>
      </c>
      <c r="B2" t="s">
        <v>229</v>
      </c>
    </row>
    <row r="3" spans="1:2" x14ac:dyDescent="0.3">
      <c r="A3">
        <v>505</v>
      </c>
      <c r="B3" t="s">
        <v>230</v>
      </c>
    </row>
    <row r="4" spans="1:2" x14ac:dyDescent="0.3">
      <c r="A4">
        <v>510</v>
      </c>
      <c r="B4" t="s">
        <v>233</v>
      </c>
    </row>
    <row r="5" spans="1:2" x14ac:dyDescent="0.3">
      <c r="A5">
        <v>515</v>
      </c>
      <c r="B5" t="s">
        <v>91</v>
      </c>
    </row>
    <row r="6" spans="1:2" x14ac:dyDescent="0.3">
      <c r="A6">
        <v>520</v>
      </c>
      <c r="B6" t="s">
        <v>236</v>
      </c>
    </row>
    <row r="7" spans="1:2" x14ac:dyDescent="0.3">
      <c r="A7">
        <v>525</v>
      </c>
      <c r="B7" t="s">
        <v>114</v>
      </c>
    </row>
    <row r="8" spans="1:2" x14ac:dyDescent="0.3">
      <c r="A8">
        <v>530</v>
      </c>
      <c r="B8" t="s">
        <v>180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13E4-7F65-4AA3-BF5D-6C43FBC0ABC6}">
  <dimension ref="A1:B3"/>
  <sheetViews>
    <sheetView workbookViewId="0">
      <selection activeCell="G14" sqref="G14"/>
    </sheetView>
  </sheetViews>
  <sheetFormatPr defaultRowHeight="14.4" x14ac:dyDescent="0.3"/>
  <cols>
    <col min="1" max="1" width="12.109375" bestFit="1" customWidth="1"/>
    <col min="2" max="2" width="9.88671875" bestFit="1" customWidth="1"/>
  </cols>
  <sheetData>
    <row r="1" spans="1:2" x14ac:dyDescent="0.3">
      <c r="A1" t="s">
        <v>253</v>
      </c>
      <c r="B1" t="s">
        <v>7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68D3-D73B-4D8C-8826-AF15A7A3D17F}">
  <sheetPr codeName="Sheet2"/>
  <dimension ref="A1:R132"/>
  <sheetViews>
    <sheetView zoomScale="81" workbookViewId="0">
      <selection activeCell="G13" sqref="G13"/>
    </sheetView>
  </sheetViews>
  <sheetFormatPr defaultRowHeight="14.4" x14ac:dyDescent="0.3"/>
  <cols>
    <col min="1" max="1" width="15" style="1" bestFit="1" customWidth="1"/>
    <col min="2" max="2" width="13.6640625" style="1" bestFit="1" customWidth="1"/>
    <col min="3" max="3" width="32.44140625" style="1" customWidth="1"/>
    <col min="4" max="4" width="21" style="1" bestFit="1" customWidth="1"/>
    <col min="5" max="5" width="16.6640625" style="1" bestFit="1" customWidth="1"/>
    <col min="6" max="6" width="19.21875" style="1" bestFit="1" customWidth="1"/>
    <col min="7" max="7" width="7.5546875" style="1" bestFit="1" customWidth="1"/>
    <col min="8" max="8" width="12.6640625" style="1" bestFit="1" customWidth="1"/>
    <col min="9" max="9" width="9.88671875" style="1" bestFit="1" customWidth="1"/>
    <col min="10" max="10" width="25.5546875" style="1" bestFit="1" customWidth="1"/>
    <col min="11" max="11" width="25.5546875" style="1" customWidth="1"/>
    <col min="12" max="12" width="17" style="1" bestFit="1" customWidth="1"/>
    <col min="13" max="14" width="17" style="1" customWidth="1"/>
    <col min="15" max="15" width="21.109375" style="1" bestFit="1" customWidth="1"/>
    <col min="16" max="16" width="6" style="1" bestFit="1" customWidth="1"/>
    <col min="17" max="17" width="10.5546875" style="1" bestFit="1" customWidth="1"/>
    <col min="18" max="18" width="11.88671875" style="1" bestFit="1" customWidth="1"/>
    <col min="19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228</v>
      </c>
      <c r="I1" s="1" t="s">
        <v>7</v>
      </c>
      <c r="J1" s="1" t="s">
        <v>8</v>
      </c>
      <c r="K1" s="1" t="s">
        <v>234</v>
      </c>
      <c r="L1" s="1" t="s">
        <v>218</v>
      </c>
      <c r="M1" s="1" t="s">
        <v>241</v>
      </c>
      <c r="N1" s="1" t="s">
        <v>242</v>
      </c>
      <c r="O1" s="1" t="s">
        <v>240</v>
      </c>
      <c r="P1" s="1" t="s">
        <v>9</v>
      </c>
      <c r="Q1" s="1" t="s">
        <v>10</v>
      </c>
      <c r="R1" s="1" t="s">
        <v>11</v>
      </c>
    </row>
    <row r="2" spans="1:18" x14ac:dyDescent="0.3">
      <c r="A2" s="1" t="s">
        <v>12</v>
      </c>
      <c r="B2" s="2">
        <v>45699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45701</v>
      </c>
      <c r="I2" s="1" t="s">
        <v>18</v>
      </c>
      <c r="J2" s="1" t="s">
        <v>237</v>
      </c>
      <c r="K2" s="1" t="s">
        <v>229</v>
      </c>
      <c r="L2" s="3" t="s">
        <v>225</v>
      </c>
      <c r="M2" s="3" t="s">
        <v>243</v>
      </c>
      <c r="N2" s="3" t="s">
        <v>247</v>
      </c>
      <c r="O2" s="1">
        <v>214</v>
      </c>
      <c r="P2" s="1">
        <v>2700</v>
      </c>
      <c r="Q2" s="1">
        <v>20</v>
      </c>
      <c r="R2" s="4">
        <f>Table1_1[[#This Row],[Rate]]*Table1_1[[#This Row],[Quantity]]</f>
        <v>54000</v>
      </c>
    </row>
    <row r="3" spans="1:18" x14ac:dyDescent="0.3">
      <c r="A3" s="1" t="s">
        <v>12</v>
      </c>
      <c r="B3" s="2">
        <v>45699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2">
        <v>45701</v>
      </c>
      <c r="I3" s="1" t="s">
        <v>18</v>
      </c>
      <c r="J3" s="1" t="s">
        <v>237</v>
      </c>
      <c r="K3" s="1" t="s">
        <v>229</v>
      </c>
      <c r="L3" s="3" t="s">
        <v>211</v>
      </c>
      <c r="M3" s="3" t="s">
        <v>244</v>
      </c>
      <c r="N3" s="3" t="s">
        <v>247</v>
      </c>
      <c r="O3" s="1">
        <v>214</v>
      </c>
      <c r="P3" s="1">
        <v>2700</v>
      </c>
      <c r="Q3" s="1">
        <v>15</v>
      </c>
      <c r="R3" s="4">
        <f>Table1_1[[#This Row],[Rate]]*Table1_1[[#This Row],[Quantity]]</f>
        <v>40500</v>
      </c>
    </row>
    <row r="4" spans="1:18" x14ac:dyDescent="0.3">
      <c r="A4" s="1" t="s">
        <v>19</v>
      </c>
      <c r="B4" s="2">
        <v>45702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2">
        <v>45704</v>
      </c>
      <c r="I4" s="1" t="s">
        <v>18</v>
      </c>
      <c r="J4" s="1" t="s">
        <v>237</v>
      </c>
      <c r="K4" s="1" t="s">
        <v>229</v>
      </c>
      <c r="L4" s="3" t="s">
        <v>217</v>
      </c>
      <c r="M4" s="3" t="s">
        <v>244</v>
      </c>
      <c r="N4" s="3" t="s">
        <v>247</v>
      </c>
      <c r="O4" s="1">
        <v>214</v>
      </c>
      <c r="P4" s="1">
        <v>3100</v>
      </c>
      <c r="Q4" s="1">
        <v>10</v>
      </c>
      <c r="R4" s="4">
        <f>Table1_1[[#This Row],[Rate]]*Table1_1[[#This Row],[Quantity]]</f>
        <v>31000</v>
      </c>
    </row>
    <row r="5" spans="1:18" x14ac:dyDescent="0.3">
      <c r="A5" s="1" t="s">
        <v>19</v>
      </c>
      <c r="B5" s="2">
        <v>45702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2">
        <v>45704</v>
      </c>
      <c r="I5" s="1" t="s">
        <v>18</v>
      </c>
      <c r="J5" s="1" t="s">
        <v>237</v>
      </c>
      <c r="K5" s="1" t="s">
        <v>229</v>
      </c>
      <c r="L5" s="3" t="s">
        <v>213</v>
      </c>
      <c r="M5" s="3" t="s">
        <v>245</v>
      </c>
      <c r="N5" s="3" t="s">
        <v>247</v>
      </c>
      <c r="O5" s="1">
        <v>214</v>
      </c>
      <c r="P5" s="1">
        <v>3100</v>
      </c>
      <c r="Q5" s="1">
        <v>10</v>
      </c>
      <c r="R5" s="4">
        <f>Table1_1[[#This Row],[Rate]]*Table1_1[[#This Row],[Quantity]]</f>
        <v>31000</v>
      </c>
    </row>
    <row r="6" spans="1:18" x14ac:dyDescent="0.3">
      <c r="A6" s="1" t="s">
        <v>19</v>
      </c>
      <c r="B6" s="2">
        <v>45702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2">
        <v>45704</v>
      </c>
      <c r="I6" s="1" t="s">
        <v>18</v>
      </c>
      <c r="J6" s="1" t="s">
        <v>237</v>
      </c>
      <c r="K6" s="1" t="s">
        <v>229</v>
      </c>
      <c r="L6" s="3" t="s">
        <v>212</v>
      </c>
      <c r="M6" s="3" t="s">
        <v>245</v>
      </c>
      <c r="N6" s="3" t="s">
        <v>247</v>
      </c>
      <c r="O6" s="1">
        <v>214</v>
      </c>
      <c r="P6" s="1">
        <v>3100</v>
      </c>
      <c r="Q6" s="1">
        <v>10</v>
      </c>
      <c r="R6" s="4">
        <f>Table1_1[[#This Row],[Rate]]*Table1_1[[#This Row],[Quantity]]</f>
        <v>31000</v>
      </c>
    </row>
    <row r="7" spans="1:18" x14ac:dyDescent="0.3">
      <c r="A7" s="1" t="s">
        <v>20</v>
      </c>
      <c r="B7" s="2">
        <v>45705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45707</v>
      </c>
      <c r="I7" s="1" t="s">
        <v>18</v>
      </c>
      <c r="J7" s="1" t="s">
        <v>239</v>
      </c>
      <c r="K7" s="1" t="s">
        <v>230</v>
      </c>
      <c r="L7" s="3" t="s">
        <v>210</v>
      </c>
      <c r="M7" s="3" t="s">
        <v>243</v>
      </c>
      <c r="N7" s="3" t="s">
        <v>247</v>
      </c>
      <c r="O7" s="1">
        <v>524</v>
      </c>
      <c r="P7" s="1">
        <v>3500</v>
      </c>
      <c r="Q7" s="1">
        <v>15</v>
      </c>
      <c r="R7" s="4">
        <f>Table1_1[[#This Row],[Rate]]*Table1_1[[#This Row],[Quantity]]</f>
        <v>52500</v>
      </c>
    </row>
    <row r="8" spans="1:18" x14ac:dyDescent="0.3">
      <c r="A8" s="1" t="s">
        <v>20</v>
      </c>
      <c r="B8" s="2">
        <v>45705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2">
        <v>45707</v>
      </c>
      <c r="I8" s="1" t="s">
        <v>18</v>
      </c>
      <c r="J8" s="1" t="s">
        <v>239</v>
      </c>
      <c r="K8" s="1" t="s">
        <v>230</v>
      </c>
      <c r="L8" s="3" t="s">
        <v>210</v>
      </c>
      <c r="M8" s="3" t="s">
        <v>243</v>
      </c>
      <c r="N8" s="3" t="s">
        <v>247</v>
      </c>
      <c r="O8" s="1">
        <v>524</v>
      </c>
      <c r="P8" s="1">
        <v>3500</v>
      </c>
      <c r="Q8" s="1">
        <v>10</v>
      </c>
      <c r="R8" s="4">
        <f>Table1_1[[#This Row],[Rate]]*Table1_1[[#This Row],[Quantity]]</f>
        <v>35000</v>
      </c>
    </row>
    <row r="9" spans="1:18" x14ac:dyDescent="0.3">
      <c r="A9" s="1" t="s">
        <v>26</v>
      </c>
      <c r="B9" s="2">
        <v>45716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17</v>
      </c>
      <c r="H9" s="2">
        <v>45718</v>
      </c>
      <c r="I9" s="1" t="s">
        <v>18</v>
      </c>
      <c r="J9" s="1" t="s">
        <v>238</v>
      </c>
      <c r="K9" s="1" t="s">
        <v>229</v>
      </c>
      <c r="L9" s="3" t="s">
        <v>217</v>
      </c>
      <c r="M9" s="3" t="s">
        <v>244</v>
      </c>
      <c r="N9" s="3" t="s">
        <v>247</v>
      </c>
      <c r="O9" s="1">
        <v>230</v>
      </c>
      <c r="P9" s="1">
        <v>3150</v>
      </c>
      <c r="Q9" s="1">
        <v>3</v>
      </c>
      <c r="R9" s="4">
        <f>Table1_1[[#This Row],[Rate]]*Table1_1[[#This Row],[Quantity]]</f>
        <v>9450</v>
      </c>
    </row>
    <row r="10" spans="1:18" x14ac:dyDescent="0.3">
      <c r="A10" s="1" t="s">
        <v>26</v>
      </c>
      <c r="B10" s="2">
        <v>45716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17</v>
      </c>
      <c r="H10" s="2">
        <v>45718</v>
      </c>
      <c r="I10" s="1" t="s">
        <v>18</v>
      </c>
      <c r="J10" s="1" t="s">
        <v>238</v>
      </c>
      <c r="K10" s="1" t="s">
        <v>229</v>
      </c>
      <c r="L10" s="3" t="s">
        <v>213</v>
      </c>
      <c r="M10" s="3" t="s">
        <v>245</v>
      </c>
      <c r="N10" s="3" t="s">
        <v>247</v>
      </c>
      <c r="O10" s="1">
        <v>230</v>
      </c>
      <c r="P10" s="1">
        <v>3150</v>
      </c>
      <c r="Q10" s="1">
        <v>3</v>
      </c>
      <c r="R10" s="4">
        <f>Table1_1[[#This Row],[Rate]]*Table1_1[[#This Row],[Quantity]]</f>
        <v>9450</v>
      </c>
    </row>
    <row r="11" spans="1:18" x14ac:dyDescent="0.3">
      <c r="A11" s="1" t="s">
        <v>26</v>
      </c>
      <c r="B11" s="2">
        <v>45716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17</v>
      </c>
      <c r="H11" s="2">
        <v>45718</v>
      </c>
      <c r="I11" s="1" t="s">
        <v>18</v>
      </c>
      <c r="J11" s="1" t="s">
        <v>238</v>
      </c>
      <c r="K11" s="1" t="s">
        <v>229</v>
      </c>
      <c r="L11" s="3" t="s">
        <v>212</v>
      </c>
      <c r="M11" s="3" t="s">
        <v>245</v>
      </c>
      <c r="N11" s="3" t="s">
        <v>247</v>
      </c>
      <c r="O11" s="1">
        <v>230</v>
      </c>
      <c r="P11" s="1">
        <v>3150</v>
      </c>
      <c r="Q11" s="1">
        <v>4</v>
      </c>
      <c r="R11" s="4">
        <f>Table1_1[[#This Row],[Rate]]*Table1_1[[#This Row],[Quantity]]</f>
        <v>12600</v>
      </c>
    </row>
    <row r="12" spans="1:18" x14ac:dyDescent="0.3">
      <c r="A12" s="1" t="s">
        <v>31</v>
      </c>
      <c r="B12" s="2">
        <v>45724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2">
        <v>45726</v>
      </c>
      <c r="I12" s="1" t="s">
        <v>18</v>
      </c>
      <c r="J12" s="1" t="s">
        <v>237</v>
      </c>
      <c r="K12" s="1" t="s">
        <v>229</v>
      </c>
      <c r="L12" s="3" t="s">
        <v>225</v>
      </c>
      <c r="M12" s="3" t="s">
        <v>243</v>
      </c>
      <c r="N12" s="3" t="s">
        <v>247</v>
      </c>
      <c r="O12" s="1">
        <v>214</v>
      </c>
      <c r="P12" s="1">
        <v>2600</v>
      </c>
      <c r="Q12" s="1">
        <v>20</v>
      </c>
      <c r="R12" s="4">
        <f>Table1_1[[#This Row],[Rate]]*Table1_1[[#This Row],[Quantity]]</f>
        <v>52000</v>
      </c>
    </row>
    <row r="13" spans="1:18" x14ac:dyDescent="0.3">
      <c r="A13" s="1" t="s">
        <v>31</v>
      </c>
      <c r="B13" s="2">
        <v>45724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2">
        <v>45726</v>
      </c>
      <c r="I13" s="1" t="s">
        <v>18</v>
      </c>
      <c r="J13" s="1" t="s">
        <v>237</v>
      </c>
      <c r="K13" s="1" t="s">
        <v>229</v>
      </c>
      <c r="L13" s="3" t="s">
        <v>212</v>
      </c>
      <c r="M13" s="3" t="s">
        <v>245</v>
      </c>
      <c r="N13" s="3" t="s">
        <v>247</v>
      </c>
      <c r="O13" s="1">
        <v>214</v>
      </c>
      <c r="P13" s="1">
        <v>2600</v>
      </c>
      <c r="Q13" s="1">
        <v>15</v>
      </c>
      <c r="R13" s="4">
        <f>Table1_1[[#This Row],[Rate]]*Table1_1[[#This Row],[Quantity]]</f>
        <v>39000</v>
      </c>
    </row>
    <row r="14" spans="1:18" x14ac:dyDescent="0.3">
      <c r="A14" s="1" t="s">
        <v>32</v>
      </c>
      <c r="B14" s="2">
        <v>45725</v>
      </c>
      <c r="C14" s="1" t="s">
        <v>33</v>
      </c>
      <c r="D14" s="1" t="s">
        <v>34</v>
      </c>
      <c r="E14" s="1" t="s">
        <v>35</v>
      </c>
      <c r="F14" s="1" t="s">
        <v>16</v>
      </c>
      <c r="G14" s="1" t="s">
        <v>17</v>
      </c>
      <c r="H14" s="2">
        <v>45726</v>
      </c>
      <c r="I14" s="1" t="s">
        <v>18</v>
      </c>
      <c r="J14" s="1" t="s">
        <v>238</v>
      </c>
      <c r="K14" s="1" t="s">
        <v>230</v>
      </c>
      <c r="L14" s="3" t="s">
        <v>211</v>
      </c>
      <c r="M14" s="3" t="s">
        <v>244</v>
      </c>
      <c r="N14" s="3" t="s">
        <v>247</v>
      </c>
      <c r="O14" s="1">
        <v>196</v>
      </c>
      <c r="P14" s="1">
        <v>2700</v>
      </c>
      <c r="Q14" s="1">
        <v>25</v>
      </c>
      <c r="R14" s="4">
        <f>Table1_1[[#This Row],[Rate]]*Table1_1[[#This Row],[Quantity]]</f>
        <v>67500</v>
      </c>
    </row>
    <row r="15" spans="1:18" x14ac:dyDescent="0.3">
      <c r="A15" s="1" t="s">
        <v>36</v>
      </c>
      <c r="B15" s="2">
        <v>45728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41</v>
      </c>
      <c r="H15" s="2">
        <v>45730</v>
      </c>
      <c r="I15" s="1" t="s">
        <v>18</v>
      </c>
      <c r="J15" s="1" t="s">
        <v>231</v>
      </c>
      <c r="K15" s="1" t="s">
        <v>230</v>
      </c>
      <c r="L15" s="3" t="s">
        <v>211</v>
      </c>
      <c r="M15" s="3" t="s">
        <v>244</v>
      </c>
      <c r="N15" s="3" t="s">
        <v>247</v>
      </c>
      <c r="O15" s="1">
        <v>225</v>
      </c>
      <c r="P15" s="1">
        <v>3250</v>
      </c>
      <c r="Q15" s="1">
        <v>15</v>
      </c>
      <c r="R15" s="4">
        <f>Table1_1[[#This Row],[Rate]]*Table1_1[[#This Row],[Quantity]]</f>
        <v>48750</v>
      </c>
    </row>
    <row r="16" spans="1:18" x14ac:dyDescent="0.3">
      <c r="A16" s="1" t="s">
        <v>36</v>
      </c>
      <c r="B16" s="2">
        <v>45728</v>
      </c>
      <c r="C16" s="1" t="s">
        <v>37</v>
      </c>
      <c r="D16" s="1" t="s">
        <v>38</v>
      </c>
      <c r="E16" s="1" t="s">
        <v>39</v>
      </c>
      <c r="F16" s="1" t="s">
        <v>40</v>
      </c>
      <c r="G16" s="1" t="s">
        <v>41</v>
      </c>
      <c r="H16" s="2">
        <v>45730</v>
      </c>
      <c r="I16" s="1" t="s">
        <v>18</v>
      </c>
      <c r="J16" s="1" t="s">
        <v>231</v>
      </c>
      <c r="K16" s="1" t="s">
        <v>230</v>
      </c>
      <c r="L16" s="3" t="s">
        <v>217</v>
      </c>
      <c r="M16" s="3" t="s">
        <v>244</v>
      </c>
      <c r="N16" s="3" t="s">
        <v>247</v>
      </c>
      <c r="O16" s="1">
        <v>225</v>
      </c>
      <c r="P16" s="1">
        <v>3250</v>
      </c>
      <c r="Q16" s="1">
        <v>10</v>
      </c>
      <c r="R16" s="4">
        <f>Table1_1[[#This Row],[Rate]]*Table1_1[[#This Row],[Quantity]]</f>
        <v>32500</v>
      </c>
    </row>
    <row r="17" spans="1:18" x14ac:dyDescent="0.3">
      <c r="A17" s="1" t="s">
        <v>36</v>
      </c>
      <c r="B17" s="2">
        <v>45728</v>
      </c>
      <c r="C17" s="1" t="s">
        <v>37</v>
      </c>
      <c r="D17" s="1" t="s">
        <v>38</v>
      </c>
      <c r="E17" s="1" t="s">
        <v>39</v>
      </c>
      <c r="F17" s="1" t="s">
        <v>40</v>
      </c>
      <c r="G17" s="1" t="s">
        <v>41</v>
      </c>
      <c r="H17" s="2">
        <v>45730</v>
      </c>
      <c r="I17" s="1" t="s">
        <v>18</v>
      </c>
      <c r="J17" s="1" t="s">
        <v>231</v>
      </c>
      <c r="K17" s="1" t="s">
        <v>230</v>
      </c>
      <c r="L17" s="3" t="s">
        <v>213</v>
      </c>
      <c r="M17" s="3" t="s">
        <v>245</v>
      </c>
      <c r="N17" s="3" t="s">
        <v>247</v>
      </c>
      <c r="O17" s="1">
        <v>225</v>
      </c>
      <c r="P17" s="1">
        <v>3250</v>
      </c>
      <c r="Q17" s="1">
        <v>10</v>
      </c>
      <c r="R17" s="4">
        <f>Table1_1[[#This Row],[Rate]]*Table1_1[[#This Row],[Quantity]]</f>
        <v>32500</v>
      </c>
    </row>
    <row r="18" spans="1:18" x14ac:dyDescent="0.3">
      <c r="A18" s="1" t="s">
        <v>42</v>
      </c>
      <c r="B18" s="2">
        <v>45732</v>
      </c>
      <c r="C18" s="1" t="s">
        <v>43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45733</v>
      </c>
      <c r="I18" s="1" t="s">
        <v>48</v>
      </c>
      <c r="J18" s="1" t="s">
        <v>238</v>
      </c>
      <c r="K18" s="1" t="s">
        <v>230</v>
      </c>
      <c r="L18" s="3" t="s">
        <v>211</v>
      </c>
      <c r="M18" s="3" t="s">
        <v>244</v>
      </c>
      <c r="N18" s="3" t="s">
        <v>247</v>
      </c>
      <c r="O18" s="1">
        <v>205</v>
      </c>
      <c r="P18" s="1">
        <v>2500</v>
      </c>
      <c r="Q18" s="1">
        <v>30</v>
      </c>
      <c r="R18" s="4">
        <f>Table1_1[[#This Row],[Rate]]*Table1_1[[#This Row],[Quantity]]</f>
        <v>75000</v>
      </c>
    </row>
    <row r="19" spans="1:18" x14ac:dyDescent="0.3">
      <c r="A19" s="1" t="s">
        <v>49</v>
      </c>
      <c r="B19" s="2">
        <v>45732</v>
      </c>
      <c r="C19" s="1" t="s">
        <v>43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45733</v>
      </c>
      <c r="I19" s="1" t="s">
        <v>48</v>
      </c>
      <c r="J19" s="1" t="s">
        <v>238</v>
      </c>
      <c r="K19" s="1" t="s">
        <v>230</v>
      </c>
      <c r="L19" s="3" t="s">
        <v>211</v>
      </c>
      <c r="M19" s="3" t="s">
        <v>244</v>
      </c>
      <c r="N19" s="3" t="s">
        <v>247</v>
      </c>
      <c r="O19" s="1">
        <v>205</v>
      </c>
      <c r="P19" s="1">
        <v>2500</v>
      </c>
      <c r="Q19" s="1">
        <v>30</v>
      </c>
      <c r="R19" s="4">
        <f>Table1_1[[#This Row],[Rate]]*Table1_1[[#This Row],[Quantity]]</f>
        <v>75000</v>
      </c>
    </row>
    <row r="20" spans="1:18" x14ac:dyDescent="0.3">
      <c r="A20" s="1" t="s">
        <v>50</v>
      </c>
      <c r="B20" s="2">
        <v>45733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25</v>
      </c>
      <c r="H20" s="2">
        <v>45737</v>
      </c>
      <c r="I20" s="1" t="s">
        <v>18</v>
      </c>
      <c r="J20" s="1" t="s">
        <v>238</v>
      </c>
      <c r="K20" s="1" t="s">
        <v>229</v>
      </c>
      <c r="L20" s="3" t="s">
        <v>225</v>
      </c>
      <c r="M20" s="3" t="s">
        <v>243</v>
      </c>
      <c r="N20" s="3" t="s">
        <v>247</v>
      </c>
      <c r="O20" s="1">
        <v>806</v>
      </c>
      <c r="P20" s="1">
        <v>4600</v>
      </c>
      <c r="Q20" s="1">
        <v>6</v>
      </c>
      <c r="R20" s="4">
        <f>Table1_1[[#This Row],[Rate]]*Table1_1[[#This Row],[Quantity]]</f>
        <v>27600</v>
      </c>
    </row>
    <row r="21" spans="1:18" x14ac:dyDescent="0.3">
      <c r="A21" s="1" t="s">
        <v>50</v>
      </c>
      <c r="B21" s="2">
        <v>45733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25</v>
      </c>
      <c r="H21" s="2">
        <v>45737</v>
      </c>
      <c r="I21" s="1" t="s">
        <v>18</v>
      </c>
      <c r="J21" s="1" t="s">
        <v>238</v>
      </c>
      <c r="K21" s="1" t="s">
        <v>229</v>
      </c>
      <c r="L21" s="3" t="s">
        <v>211</v>
      </c>
      <c r="M21" s="3" t="s">
        <v>244</v>
      </c>
      <c r="N21" s="3" t="s">
        <v>247</v>
      </c>
      <c r="O21" s="1">
        <v>806</v>
      </c>
      <c r="P21" s="1">
        <v>4600</v>
      </c>
      <c r="Q21" s="1">
        <v>6</v>
      </c>
      <c r="R21" s="4">
        <f>Table1_1[[#This Row],[Rate]]*Table1_1[[#This Row],[Quantity]]</f>
        <v>27600</v>
      </c>
    </row>
    <row r="22" spans="1:18" x14ac:dyDescent="0.3">
      <c r="A22" s="1" t="s">
        <v>50</v>
      </c>
      <c r="B22" s="2">
        <v>45733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25</v>
      </c>
      <c r="H22" s="2">
        <v>45737</v>
      </c>
      <c r="I22" s="1" t="s">
        <v>18</v>
      </c>
      <c r="J22" s="1" t="s">
        <v>238</v>
      </c>
      <c r="K22" s="1" t="s">
        <v>229</v>
      </c>
      <c r="L22" s="3" t="s">
        <v>217</v>
      </c>
      <c r="M22" s="3" t="s">
        <v>244</v>
      </c>
      <c r="N22" s="3" t="s">
        <v>247</v>
      </c>
      <c r="O22" s="1">
        <v>806</v>
      </c>
      <c r="P22" s="1">
        <v>4600</v>
      </c>
      <c r="Q22" s="1">
        <v>6</v>
      </c>
      <c r="R22" s="4">
        <f>Table1_1[[#This Row],[Rate]]*Table1_1[[#This Row],[Quantity]]</f>
        <v>27600</v>
      </c>
    </row>
    <row r="23" spans="1:18" x14ac:dyDescent="0.3">
      <c r="A23" s="1" t="s">
        <v>50</v>
      </c>
      <c r="B23" s="2">
        <v>45733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25</v>
      </c>
      <c r="H23" s="2">
        <v>45737</v>
      </c>
      <c r="I23" s="1" t="s">
        <v>18</v>
      </c>
      <c r="J23" s="1" t="s">
        <v>238</v>
      </c>
      <c r="K23" s="1" t="s">
        <v>229</v>
      </c>
      <c r="L23" s="3" t="s">
        <v>213</v>
      </c>
      <c r="M23" s="3" t="s">
        <v>245</v>
      </c>
      <c r="N23" s="3" t="s">
        <v>247</v>
      </c>
      <c r="O23" s="1">
        <v>806</v>
      </c>
      <c r="P23" s="1">
        <v>4600</v>
      </c>
      <c r="Q23" s="1">
        <v>6</v>
      </c>
      <c r="R23" s="4">
        <f>Table1_1[[#This Row],[Rate]]*Table1_1[[#This Row],[Quantity]]</f>
        <v>27600</v>
      </c>
    </row>
    <row r="24" spans="1:18" x14ac:dyDescent="0.3">
      <c r="A24" s="1" t="s">
        <v>50</v>
      </c>
      <c r="B24" s="2">
        <v>45733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25</v>
      </c>
      <c r="H24" s="2">
        <v>45737</v>
      </c>
      <c r="I24" s="1" t="s">
        <v>18</v>
      </c>
      <c r="J24" s="1" t="s">
        <v>238</v>
      </c>
      <c r="K24" s="1" t="s">
        <v>229</v>
      </c>
      <c r="L24" s="3" t="s">
        <v>212</v>
      </c>
      <c r="M24" s="3" t="s">
        <v>245</v>
      </c>
      <c r="N24" s="3" t="s">
        <v>247</v>
      </c>
      <c r="O24" s="1">
        <v>806</v>
      </c>
      <c r="P24" s="1">
        <v>4600</v>
      </c>
      <c r="Q24" s="1">
        <v>6</v>
      </c>
      <c r="R24" s="4">
        <f>Table1_1[[#This Row],[Rate]]*Table1_1[[#This Row],[Quantity]]</f>
        <v>27600</v>
      </c>
    </row>
    <row r="25" spans="1:18" x14ac:dyDescent="0.3">
      <c r="A25" s="1" t="s">
        <v>55</v>
      </c>
      <c r="B25" s="2">
        <v>45738</v>
      </c>
      <c r="C25" s="1" t="s">
        <v>13</v>
      </c>
      <c r="D25" s="1" t="s">
        <v>14</v>
      </c>
      <c r="E25" s="1" t="s">
        <v>56</v>
      </c>
      <c r="F25" s="1" t="s">
        <v>57</v>
      </c>
      <c r="G25" s="1" t="s">
        <v>25</v>
      </c>
      <c r="H25" s="2">
        <v>45740</v>
      </c>
      <c r="I25" s="1" t="s">
        <v>48</v>
      </c>
      <c r="J25" s="1" t="s">
        <v>237</v>
      </c>
      <c r="K25" s="1" t="s">
        <v>230</v>
      </c>
      <c r="L25" s="3" t="s">
        <v>211</v>
      </c>
      <c r="M25" s="3" t="s">
        <v>244</v>
      </c>
      <c r="N25" s="3" t="s">
        <v>247</v>
      </c>
      <c r="O25" s="1">
        <v>320</v>
      </c>
      <c r="P25" s="1">
        <v>2650</v>
      </c>
      <c r="Q25" s="1">
        <v>35</v>
      </c>
      <c r="R25" s="4">
        <f>Table1_1[[#This Row],[Rate]]*Table1_1[[#This Row],[Quantity]]</f>
        <v>92750</v>
      </c>
    </row>
    <row r="26" spans="1:18" x14ac:dyDescent="0.3">
      <c r="A26" s="1" t="s">
        <v>58</v>
      </c>
      <c r="B26" s="2">
        <v>45741</v>
      </c>
      <c r="C26" s="1" t="s">
        <v>13</v>
      </c>
      <c r="D26" s="1" t="s">
        <v>14</v>
      </c>
      <c r="E26" s="1" t="s">
        <v>56</v>
      </c>
      <c r="F26" s="1" t="s">
        <v>57</v>
      </c>
      <c r="G26" s="1" t="s">
        <v>25</v>
      </c>
      <c r="H26" s="2">
        <v>45743</v>
      </c>
      <c r="I26" s="1" t="s">
        <v>48</v>
      </c>
      <c r="J26" s="1" t="s">
        <v>237</v>
      </c>
      <c r="K26" s="1" t="s">
        <v>230</v>
      </c>
      <c r="L26" s="3" t="s">
        <v>211</v>
      </c>
      <c r="M26" s="3" t="s">
        <v>244</v>
      </c>
      <c r="N26" s="3" t="s">
        <v>247</v>
      </c>
      <c r="O26" s="1">
        <v>320</v>
      </c>
      <c r="P26" s="1">
        <v>2650</v>
      </c>
      <c r="Q26" s="1">
        <v>25</v>
      </c>
      <c r="R26" s="4">
        <f>Table1_1[[#This Row],[Rate]]*Table1_1[[#This Row],[Quantity]]</f>
        <v>66250</v>
      </c>
    </row>
    <row r="27" spans="1:18" x14ac:dyDescent="0.3">
      <c r="A27" s="1" t="s">
        <v>59</v>
      </c>
      <c r="B27" s="2">
        <v>45742</v>
      </c>
      <c r="C27" s="1" t="s">
        <v>13</v>
      </c>
      <c r="D27" s="1" t="s">
        <v>14</v>
      </c>
      <c r="E27" s="1" t="s">
        <v>60</v>
      </c>
      <c r="F27" s="1" t="s">
        <v>57</v>
      </c>
      <c r="G27" s="1" t="s">
        <v>25</v>
      </c>
      <c r="H27" s="2">
        <v>45744</v>
      </c>
      <c r="I27" s="1" t="s">
        <v>48</v>
      </c>
      <c r="J27" s="1" t="s">
        <v>237</v>
      </c>
      <c r="K27" s="1" t="s">
        <v>230</v>
      </c>
      <c r="L27" s="3" t="s">
        <v>211</v>
      </c>
      <c r="M27" s="3" t="s">
        <v>244</v>
      </c>
      <c r="N27" s="3" t="s">
        <v>247</v>
      </c>
      <c r="O27" s="1">
        <v>232</v>
      </c>
      <c r="P27" s="1">
        <v>2750</v>
      </c>
      <c r="Q27" s="1">
        <v>30</v>
      </c>
      <c r="R27" s="4">
        <f>Table1_1[[#This Row],[Rate]]*Table1_1[[#This Row],[Quantity]]</f>
        <v>82500</v>
      </c>
    </row>
    <row r="28" spans="1:18" x14ac:dyDescent="0.3">
      <c r="A28" s="1" t="s">
        <v>61</v>
      </c>
      <c r="B28" s="2">
        <v>45743</v>
      </c>
      <c r="C28" s="1" t="s">
        <v>13</v>
      </c>
      <c r="D28" s="1" t="s">
        <v>14</v>
      </c>
      <c r="E28" s="1" t="s">
        <v>56</v>
      </c>
      <c r="F28" s="1" t="s">
        <v>57</v>
      </c>
      <c r="G28" s="1" t="s">
        <v>25</v>
      </c>
      <c r="H28" s="2">
        <v>45745</v>
      </c>
      <c r="I28" s="1" t="s">
        <v>48</v>
      </c>
      <c r="J28" s="1" t="s">
        <v>237</v>
      </c>
      <c r="K28" s="1" t="s">
        <v>230</v>
      </c>
      <c r="L28" s="3" t="s">
        <v>211</v>
      </c>
      <c r="M28" s="3" t="s">
        <v>244</v>
      </c>
      <c r="N28" s="3" t="s">
        <v>247</v>
      </c>
      <c r="O28" s="1">
        <v>320</v>
      </c>
      <c r="P28" s="1">
        <v>2650</v>
      </c>
      <c r="Q28" s="1">
        <v>35</v>
      </c>
      <c r="R28" s="4">
        <f>Table1_1[[#This Row],[Rate]]*Table1_1[[#This Row],[Quantity]]</f>
        <v>92750</v>
      </c>
    </row>
    <row r="29" spans="1:18" x14ac:dyDescent="0.3">
      <c r="A29" s="1" t="s">
        <v>62</v>
      </c>
      <c r="B29" s="2">
        <v>45744</v>
      </c>
      <c r="C29" s="1" t="s">
        <v>13</v>
      </c>
      <c r="D29" s="1" t="s">
        <v>14</v>
      </c>
      <c r="E29" s="1" t="s">
        <v>56</v>
      </c>
      <c r="F29" s="1" t="s">
        <v>57</v>
      </c>
      <c r="G29" s="1" t="s">
        <v>25</v>
      </c>
      <c r="H29" s="2">
        <v>45746</v>
      </c>
      <c r="I29" s="1" t="s">
        <v>48</v>
      </c>
      <c r="J29" s="1" t="s">
        <v>237</v>
      </c>
      <c r="K29" s="1" t="s">
        <v>230</v>
      </c>
      <c r="L29" s="3" t="s">
        <v>211</v>
      </c>
      <c r="M29" s="3" t="s">
        <v>244</v>
      </c>
      <c r="N29" s="3" t="s">
        <v>247</v>
      </c>
      <c r="O29" s="1">
        <v>320</v>
      </c>
      <c r="P29" s="1">
        <v>2650</v>
      </c>
      <c r="Q29" s="1">
        <v>35</v>
      </c>
      <c r="R29" s="4">
        <f>Table1_1[[#This Row],[Rate]]*Table1_1[[#This Row],[Quantity]]</f>
        <v>92750</v>
      </c>
    </row>
    <row r="30" spans="1:18" x14ac:dyDescent="0.3">
      <c r="A30" s="1" t="s">
        <v>63</v>
      </c>
      <c r="B30" s="2">
        <v>45755</v>
      </c>
      <c r="C30" s="1" t="s">
        <v>13</v>
      </c>
      <c r="D30" s="1" t="s">
        <v>14</v>
      </c>
      <c r="E30" s="1" t="s">
        <v>64</v>
      </c>
      <c r="F30" s="1" t="s">
        <v>65</v>
      </c>
      <c r="G30" s="1" t="s">
        <v>25</v>
      </c>
      <c r="H30" s="2">
        <v>45757</v>
      </c>
      <c r="I30" s="1" t="s">
        <v>18</v>
      </c>
      <c r="J30" s="1" t="s">
        <v>237</v>
      </c>
      <c r="K30" s="1" t="s">
        <v>229</v>
      </c>
      <c r="L30" s="3" t="s">
        <v>212</v>
      </c>
      <c r="M30" s="3" t="s">
        <v>245</v>
      </c>
      <c r="N30" s="3" t="s">
        <v>247</v>
      </c>
      <c r="O30" s="1">
        <v>509</v>
      </c>
      <c r="P30" s="1">
        <v>3450</v>
      </c>
      <c r="Q30" s="1">
        <v>35</v>
      </c>
      <c r="R30" s="4">
        <f>Table1_1[[#This Row],[Rate]]*Table1_1[[#This Row],[Quantity]]</f>
        <v>120750</v>
      </c>
    </row>
    <row r="31" spans="1:18" x14ac:dyDescent="0.3">
      <c r="A31" s="1" t="s">
        <v>66</v>
      </c>
      <c r="B31" s="2">
        <v>45757</v>
      </c>
      <c r="C31" s="1" t="s">
        <v>13</v>
      </c>
      <c r="D31" s="1" t="s">
        <v>14</v>
      </c>
      <c r="E31" s="1" t="s">
        <v>64</v>
      </c>
      <c r="F31" s="1" t="s">
        <v>65</v>
      </c>
      <c r="G31" s="1" t="s">
        <v>25</v>
      </c>
      <c r="H31" s="2">
        <v>45759</v>
      </c>
      <c r="I31" s="1" t="s">
        <v>18</v>
      </c>
      <c r="J31" s="1" t="s">
        <v>237</v>
      </c>
      <c r="K31" s="1" t="s">
        <v>229</v>
      </c>
      <c r="L31" s="3" t="s">
        <v>213</v>
      </c>
      <c r="M31" s="3" t="s">
        <v>245</v>
      </c>
      <c r="N31" s="3" t="s">
        <v>247</v>
      </c>
      <c r="O31" s="1">
        <v>509</v>
      </c>
      <c r="P31" s="1">
        <v>3450</v>
      </c>
      <c r="Q31" s="1">
        <v>42</v>
      </c>
      <c r="R31" s="4">
        <f>Table1_1[[#This Row],[Rate]]*Table1_1[[#This Row],[Quantity]]</f>
        <v>144900</v>
      </c>
    </row>
    <row r="32" spans="1:18" x14ac:dyDescent="0.3">
      <c r="A32" s="1" t="s">
        <v>67</v>
      </c>
      <c r="B32" s="2">
        <v>45764</v>
      </c>
      <c r="C32" s="1" t="s">
        <v>13</v>
      </c>
      <c r="D32" s="1" t="s">
        <v>14</v>
      </c>
      <c r="E32" s="1" t="s">
        <v>64</v>
      </c>
      <c r="F32" s="1" t="s">
        <v>65</v>
      </c>
      <c r="G32" s="1" t="s">
        <v>25</v>
      </c>
      <c r="H32" s="2">
        <v>45766</v>
      </c>
      <c r="I32" s="1" t="s">
        <v>18</v>
      </c>
      <c r="J32" s="1" t="s">
        <v>237</v>
      </c>
      <c r="K32" s="1" t="s">
        <v>229</v>
      </c>
      <c r="L32" s="3" t="s">
        <v>212</v>
      </c>
      <c r="M32" s="3" t="s">
        <v>245</v>
      </c>
      <c r="N32" s="3" t="s">
        <v>247</v>
      </c>
      <c r="O32" s="1">
        <v>509</v>
      </c>
      <c r="P32" s="1">
        <v>3450</v>
      </c>
      <c r="Q32" s="1">
        <v>42</v>
      </c>
      <c r="R32" s="4">
        <f>Table1_1[[#This Row],[Rate]]*Table1_1[[#This Row],[Quantity]]</f>
        <v>144900</v>
      </c>
    </row>
    <row r="33" spans="1:18" x14ac:dyDescent="0.3">
      <c r="A33" s="1" t="s">
        <v>68</v>
      </c>
      <c r="B33" s="2">
        <v>45764</v>
      </c>
      <c r="C33" s="1" t="s">
        <v>69</v>
      </c>
      <c r="D33" s="1" t="s">
        <v>70</v>
      </c>
      <c r="E33" s="1" t="s">
        <v>71</v>
      </c>
      <c r="F33" s="1" t="s">
        <v>46</v>
      </c>
      <c r="G33" s="1" t="s">
        <v>47</v>
      </c>
      <c r="H33" s="2">
        <v>45765</v>
      </c>
      <c r="I33" s="1" t="s">
        <v>18</v>
      </c>
      <c r="J33" s="1" t="s">
        <v>232</v>
      </c>
      <c r="K33" s="1" t="s">
        <v>233</v>
      </c>
      <c r="L33" s="3" t="s">
        <v>214</v>
      </c>
      <c r="M33" s="3" t="s">
        <v>243</v>
      </c>
      <c r="N33" s="3" t="s">
        <v>247</v>
      </c>
      <c r="O33" s="1">
        <v>190</v>
      </c>
      <c r="P33" s="1">
        <v>2350</v>
      </c>
      <c r="Q33" s="1">
        <v>80</v>
      </c>
      <c r="R33" s="4">
        <f>Table1_1[[#This Row],[Rate]]*Table1_1[[#This Row],[Quantity]]</f>
        <v>188000</v>
      </c>
    </row>
    <row r="34" spans="1:18" x14ac:dyDescent="0.3">
      <c r="A34" s="1" t="s">
        <v>68</v>
      </c>
      <c r="B34" s="2">
        <v>45764</v>
      </c>
      <c r="C34" s="1" t="s">
        <v>69</v>
      </c>
      <c r="D34" s="1" t="s">
        <v>70</v>
      </c>
      <c r="E34" s="1" t="s">
        <v>71</v>
      </c>
      <c r="F34" s="1" t="s">
        <v>46</v>
      </c>
      <c r="G34" s="1" t="s">
        <v>47</v>
      </c>
      <c r="H34" s="2">
        <v>45765</v>
      </c>
      <c r="I34" s="1" t="s">
        <v>18</v>
      </c>
      <c r="J34" s="1" t="s">
        <v>232</v>
      </c>
      <c r="K34" s="1" t="s">
        <v>233</v>
      </c>
      <c r="L34" s="3" t="s">
        <v>223</v>
      </c>
      <c r="M34" s="3" t="s">
        <v>246</v>
      </c>
      <c r="N34" s="3" t="s">
        <v>248</v>
      </c>
      <c r="O34" s="1">
        <v>190</v>
      </c>
      <c r="P34" s="1">
        <v>7800</v>
      </c>
      <c r="Q34" s="1">
        <v>20</v>
      </c>
      <c r="R34" s="4">
        <f>Table1_1[[#This Row],[Rate]]*Table1_1[[#This Row],[Quantity]]</f>
        <v>156000</v>
      </c>
    </row>
    <row r="35" spans="1:18" x14ac:dyDescent="0.3">
      <c r="A35" s="1" t="s">
        <v>72</v>
      </c>
      <c r="B35" s="2">
        <v>45765</v>
      </c>
      <c r="C35" s="1" t="s">
        <v>13</v>
      </c>
      <c r="D35" s="1" t="s">
        <v>14</v>
      </c>
      <c r="E35" s="1" t="s">
        <v>64</v>
      </c>
      <c r="F35" s="1" t="s">
        <v>65</v>
      </c>
      <c r="G35" s="1" t="s">
        <v>25</v>
      </c>
      <c r="H35" s="2">
        <v>45767</v>
      </c>
      <c r="I35" s="1" t="s">
        <v>18</v>
      </c>
      <c r="J35" s="1" t="s">
        <v>237</v>
      </c>
      <c r="K35" s="1" t="s">
        <v>229</v>
      </c>
      <c r="L35" s="3" t="s">
        <v>211</v>
      </c>
      <c r="M35" s="3" t="s">
        <v>244</v>
      </c>
      <c r="N35" s="3" t="s">
        <v>247</v>
      </c>
      <c r="O35" s="1">
        <v>509</v>
      </c>
      <c r="P35" s="1">
        <v>3050</v>
      </c>
      <c r="Q35" s="1">
        <v>42</v>
      </c>
      <c r="R35" s="4">
        <f>Table1_1[[#This Row],[Rate]]*Table1_1[[#This Row],[Quantity]]</f>
        <v>128100</v>
      </c>
    </row>
    <row r="36" spans="1:18" x14ac:dyDescent="0.3">
      <c r="A36" s="1" t="s">
        <v>73</v>
      </c>
      <c r="B36" s="2">
        <v>45767</v>
      </c>
      <c r="C36" s="1" t="s">
        <v>13</v>
      </c>
      <c r="D36" s="1" t="s">
        <v>14</v>
      </c>
      <c r="E36" s="1" t="s">
        <v>74</v>
      </c>
      <c r="F36" s="1" t="s">
        <v>74</v>
      </c>
      <c r="G36" s="1" t="s">
        <v>25</v>
      </c>
      <c r="H36" s="2">
        <v>45769</v>
      </c>
      <c r="I36" s="1" t="s">
        <v>48</v>
      </c>
      <c r="J36" s="1" t="s">
        <v>237</v>
      </c>
      <c r="K36" s="1" t="s">
        <v>229</v>
      </c>
      <c r="L36" s="3" t="s">
        <v>211</v>
      </c>
      <c r="M36" s="3" t="s">
        <v>244</v>
      </c>
      <c r="N36" s="3" t="s">
        <v>247</v>
      </c>
      <c r="O36" s="1">
        <v>386</v>
      </c>
      <c r="P36" s="1">
        <v>2750</v>
      </c>
      <c r="Q36" s="1">
        <v>25</v>
      </c>
      <c r="R36" s="4">
        <f>Table1_1[[#This Row],[Rate]]*Table1_1[[#This Row],[Quantity]]</f>
        <v>68750</v>
      </c>
    </row>
    <row r="37" spans="1:18" x14ac:dyDescent="0.3">
      <c r="A37" s="1" t="s">
        <v>75</v>
      </c>
      <c r="B37" s="2">
        <v>45768</v>
      </c>
      <c r="C37" s="1" t="s">
        <v>13</v>
      </c>
      <c r="D37" s="1" t="s">
        <v>14</v>
      </c>
      <c r="E37" s="1" t="s">
        <v>64</v>
      </c>
      <c r="F37" s="1" t="s">
        <v>65</v>
      </c>
      <c r="G37" s="1" t="s">
        <v>25</v>
      </c>
      <c r="H37" s="2">
        <v>45770</v>
      </c>
      <c r="I37" s="1" t="s">
        <v>18</v>
      </c>
      <c r="J37" s="1" t="s">
        <v>237</v>
      </c>
      <c r="K37" s="1" t="s">
        <v>229</v>
      </c>
      <c r="L37" s="3" t="s">
        <v>211</v>
      </c>
      <c r="M37" s="3" t="s">
        <v>244</v>
      </c>
      <c r="N37" s="3" t="s">
        <v>247</v>
      </c>
      <c r="O37" s="1">
        <v>509</v>
      </c>
      <c r="P37" s="1">
        <v>3050</v>
      </c>
      <c r="Q37" s="1">
        <v>42</v>
      </c>
      <c r="R37" s="4">
        <f>Table1_1[[#This Row],[Rate]]*Table1_1[[#This Row],[Quantity]]</f>
        <v>128100</v>
      </c>
    </row>
    <row r="38" spans="1:18" x14ac:dyDescent="0.3">
      <c r="A38" s="1" t="s">
        <v>76</v>
      </c>
      <c r="B38" s="2">
        <v>45770</v>
      </c>
      <c r="C38" s="1" t="s">
        <v>13</v>
      </c>
      <c r="D38" s="1" t="s">
        <v>14</v>
      </c>
      <c r="E38" s="1" t="s">
        <v>77</v>
      </c>
      <c r="F38" s="1" t="s">
        <v>78</v>
      </c>
      <c r="G38" s="1" t="s">
        <v>25</v>
      </c>
      <c r="H38" s="2">
        <v>45772</v>
      </c>
      <c r="I38" s="1" t="s">
        <v>48</v>
      </c>
      <c r="J38" s="1" t="s">
        <v>237</v>
      </c>
      <c r="K38" s="1" t="s">
        <v>229</v>
      </c>
      <c r="L38" s="3" t="s">
        <v>211</v>
      </c>
      <c r="M38" s="3" t="s">
        <v>244</v>
      </c>
      <c r="N38" s="3" t="s">
        <v>247</v>
      </c>
      <c r="O38" s="1">
        <v>307</v>
      </c>
      <c r="P38" s="1">
        <v>2850</v>
      </c>
      <c r="Q38" s="1">
        <v>35</v>
      </c>
      <c r="R38" s="4">
        <f>Table1_1[[#This Row],[Rate]]*Table1_1[[#This Row],[Quantity]]</f>
        <v>99750</v>
      </c>
    </row>
    <row r="39" spans="1:18" x14ac:dyDescent="0.3">
      <c r="A39" s="1" t="s">
        <v>79</v>
      </c>
      <c r="B39" s="2">
        <v>45773</v>
      </c>
      <c r="C39" s="1" t="s">
        <v>13</v>
      </c>
      <c r="D39" s="1" t="s">
        <v>14</v>
      </c>
      <c r="E39" s="1" t="s">
        <v>80</v>
      </c>
      <c r="F39" s="1" t="s">
        <v>57</v>
      </c>
      <c r="G39" s="1" t="s">
        <v>25</v>
      </c>
      <c r="H39" s="2">
        <v>45775</v>
      </c>
      <c r="I39" s="1" t="s">
        <v>48</v>
      </c>
      <c r="J39" s="1" t="s">
        <v>237</v>
      </c>
      <c r="K39" s="1" t="s">
        <v>229</v>
      </c>
      <c r="L39" s="3" t="s">
        <v>211</v>
      </c>
      <c r="M39" s="3" t="s">
        <v>244</v>
      </c>
      <c r="N39" s="3" t="s">
        <v>247</v>
      </c>
      <c r="O39" s="1">
        <v>323</v>
      </c>
      <c r="P39" s="1">
        <v>2650</v>
      </c>
      <c r="Q39" s="1">
        <v>30</v>
      </c>
      <c r="R39" s="4">
        <f>Table1_1[[#This Row],[Rate]]*Table1_1[[#This Row],[Quantity]]</f>
        <v>79500</v>
      </c>
    </row>
    <row r="40" spans="1:18" x14ac:dyDescent="0.3">
      <c r="A40" s="1" t="s">
        <v>81</v>
      </c>
      <c r="B40" s="2">
        <v>45778</v>
      </c>
      <c r="C40" s="1" t="s">
        <v>13</v>
      </c>
      <c r="D40" s="1" t="s">
        <v>14</v>
      </c>
      <c r="E40" s="1" t="s">
        <v>64</v>
      </c>
      <c r="F40" s="1" t="s">
        <v>65</v>
      </c>
      <c r="G40" s="1" t="s">
        <v>25</v>
      </c>
      <c r="H40" s="2">
        <v>45780</v>
      </c>
      <c r="I40" s="1" t="s">
        <v>18</v>
      </c>
      <c r="J40" s="1" t="s">
        <v>237</v>
      </c>
      <c r="K40" s="1" t="s">
        <v>229</v>
      </c>
      <c r="L40" s="3" t="s">
        <v>212</v>
      </c>
      <c r="M40" s="3" t="s">
        <v>245</v>
      </c>
      <c r="N40" s="3" t="s">
        <v>247</v>
      </c>
      <c r="O40" s="1">
        <v>509</v>
      </c>
      <c r="P40" s="1">
        <v>3450</v>
      </c>
      <c r="Q40" s="1">
        <v>30</v>
      </c>
      <c r="R40" s="4">
        <f>Table1_1[[#This Row],[Rate]]*Table1_1[[#This Row],[Quantity]]</f>
        <v>103500</v>
      </c>
    </row>
    <row r="41" spans="1:18" x14ac:dyDescent="0.3">
      <c r="A41" s="1" t="s">
        <v>82</v>
      </c>
      <c r="B41" s="2">
        <v>45780</v>
      </c>
      <c r="C41" s="1" t="s">
        <v>13</v>
      </c>
      <c r="D41" s="1" t="s">
        <v>14</v>
      </c>
      <c r="E41" s="1" t="s">
        <v>64</v>
      </c>
      <c r="F41" s="1" t="s">
        <v>65</v>
      </c>
      <c r="G41" s="1" t="s">
        <v>25</v>
      </c>
      <c r="H41" s="2">
        <v>45782</v>
      </c>
      <c r="I41" s="1" t="s">
        <v>18</v>
      </c>
      <c r="J41" s="1" t="s">
        <v>237</v>
      </c>
      <c r="K41" s="1" t="s">
        <v>229</v>
      </c>
      <c r="L41" s="3" t="s">
        <v>212</v>
      </c>
      <c r="M41" s="3" t="s">
        <v>245</v>
      </c>
      <c r="N41" s="3" t="s">
        <v>247</v>
      </c>
      <c r="O41" s="1">
        <v>509</v>
      </c>
      <c r="P41" s="1">
        <v>3450</v>
      </c>
      <c r="Q41" s="1">
        <v>30</v>
      </c>
      <c r="R41" s="4">
        <f>Table1_1[[#This Row],[Rate]]*Table1_1[[#This Row],[Quantity]]</f>
        <v>103500</v>
      </c>
    </row>
    <row r="42" spans="1:18" x14ac:dyDescent="0.3">
      <c r="A42" s="1" t="s">
        <v>83</v>
      </c>
      <c r="B42" s="2">
        <v>45791</v>
      </c>
      <c r="C42" s="1" t="s">
        <v>13</v>
      </c>
      <c r="D42" s="1" t="s">
        <v>14</v>
      </c>
      <c r="E42" s="1" t="s">
        <v>84</v>
      </c>
      <c r="F42" s="1" t="s">
        <v>57</v>
      </c>
      <c r="G42" s="1" t="s">
        <v>25</v>
      </c>
      <c r="H42" s="2">
        <v>45793</v>
      </c>
      <c r="I42" s="1" t="s">
        <v>48</v>
      </c>
      <c r="J42" s="1" t="s">
        <v>237</v>
      </c>
      <c r="K42" s="1" t="s">
        <v>229</v>
      </c>
      <c r="L42" s="3" t="s">
        <v>211</v>
      </c>
      <c r="M42" s="3" t="s">
        <v>244</v>
      </c>
      <c r="N42" s="3" t="s">
        <v>247</v>
      </c>
      <c r="O42" s="1">
        <v>326</v>
      </c>
      <c r="P42" s="1">
        <v>2650</v>
      </c>
      <c r="Q42" s="1">
        <v>35</v>
      </c>
      <c r="R42" s="4">
        <f>Table1_1[[#This Row],[Rate]]*Table1_1[[#This Row],[Quantity]]</f>
        <v>92750</v>
      </c>
    </row>
    <row r="43" spans="1:18" x14ac:dyDescent="0.3">
      <c r="A43" s="1" t="s">
        <v>85</v>
      </c>
      <c r="B43" s="2">
        <v>45792</v>
      </c>
      <c r="C43" s="1" t="s">
        <v>13</v>
      </c>
      <c r="D43" s="1" t="s">
        <v>14</v>
      </c>
      <c r="E43" s="1" t="s">
        <v>60</v>
      </c>
      <c r="F43" s="1" t="s">
        <v>57</v>
      </c>
      <c r="G43" s="1" t="s">
        <v>25</v>
      </c>
      <c r="H43" s="2">
        <v>45794</v>
      </c>
      <c r="I43" s="1" t="s">
        <v>18</v>
      </c>
      <c r="J43" s="1" t="s">
        <v>237</v>
      </c>
      <c r="K43" s="1" t="s">
        <v>229</v>
      </c>
      <c r="L43" s="3" t="s">
        <v>225</v>
      </c>
      <c r="M43" s="3" t="s">
        <v>243</v>
      </c>
      <c r="N43" s="3" t="s">
        <v>247</v>
      </c>
      <c r="O43" s="1">
        <v>232</v>
      </c>
      <c r="P43" s="1">
        <v>2750</v>
      </c>
      <c r="Q43" s="1">
        <v>20</v>
      </c>
      <c r="R43" s="4">
        <f>Table1_1[[#This Row],[Rate]]*Table1_1[[#This Row],[Quantity]]</f>
        <v>55000</v>
      </c>
    </row>
    <row r="44" spans="1:18" x14ac:dyDescent="0.3">
      <c r="A44" s="1" t="s">
        <v>85</v>
      </c>
      <c r="B44" s="2">
        <v>45792</v>
      </c>
      <c r="C44" s="1" t="s">
        <v>13</v>
      </c>
      <c r="D44" s="1" t="s">
        <v>14</v>
      </c>
      <c r="E44" s="1" t="s">
        <v>60</v>
      </c>
      <c r="F44" s="1" t="s">
        <v>57</v>
      </c>
      <c r="G44" s="1" t="s">
        <v>25</v>
      </c>
      <c r="H44" s="2">
        <v>45794</v>
      </c>
      <c r="I44" s="1" t="s">
        <v>48</v>
      </c>
      <c r="J44" s="1" t="s">
        <v>237</v>
      </c>
      <c r="K44" s="1" t="s">
        <v>229</v>
      </c>
      <c r="L44" s="3" t="s">
        <v>211</v>
      </c>
      <c r="M44" s="3" t="s">
        <v>244</v>
      </c>
      <c r="N44" s="3" t="s">
        <v>247</v>
      </c>
      <c r="O44" s="1">
        <v>232</v>
      </c>
      <c r="P44" s="1">
        <v>2750</v>
      </c>
      <c r="Q44" s="1">
        <v>15</v>
      </c>
      <c r="R44" s="4">
        <f>Table1_1[[#This Row],[Rate]]*Table1_1[[#This Row],[Quantity]]</f>
        <v>41250</v>
      </c>
    </row>
    <row r="45" spans="1:18" x14ac:dyDescent="0.3">
      <c r="A45" s="1" t="s">
        <v>86</v>
      </c>
      <c r="B45" s="2">
        <v>45801</v>
      </c>
      <c r="C45" s="1" t="s">
        <v>87</v>
      </c>
      <c r="D45" s="1" t="s">
        <v>88</v>
      </c>
      <c r="E45" s="1" t="s">
        <v>89</v>
      </c>
      <c r="F45" s="1" t="s">
        <v>90</v>
      </c>
      <c r="G45" s="1" t="s">
        <v>41</v>
      </c>
      <c r="H45" s="2">
        <v>45804</v>
      </c>
      <c r="I45" s="1" t="s">
        <v>18</v>
      </c>
      <c r="J45" s="1" t="s">
        <v>235</v>
      </c>
      <c r="K45" s="1" t="s">
        <v>91</v>
      </c>
      <c r="L45" s="3" t="s">
        <v>215</v>
      </c>
      <c r="M45" s="3" t="s">
        <v>245</v>
      </c>
      <c r="N45" s="3" t="s">
        <v>247</v>
      </c>
      <c r="O45" s="1">
        <v>362</v>
      </c>
      <c r="P45" s="1">
        <v>4600</v>
      </c>
      <c r="Q45" s="1">
        <v>30</v>
      </c>
      <c r="R45" s="4">
        <f>Table1_1[[#This Row],[Rate]]*Table1_1[[#This Row],[Quantity]]</f>
        <v>138000</v>
      </c>
    </row>
    <row r="46" spans="1:18" x14ac:dyDescent="0.3">
      <c r="A46" s="1" t="s">
        <v>92</v>
      </c>
      <c r="B46" s="2">
        <v>45822</v>
      </c>
      <c r="C46" s="1" t="s">
        <v>93</v>
      </c>
      <c r="D46" s="1" t="s">
        <v>128</v>
      </c>
      <c r="E46" s="1" t="s">
        <v>95</v>
      </c>
      <c r="F46" s="1" t="s">
        <v>96</v>
      </c>
      <c r="G46" s="1" t="s">
        <v>17</v>
      </c>
      <c r="H46" s="2">
        <v>45824</v>
      </c>
      <c r="I46" s="1" t="s">
        <v>18</v>
      </c>
      <c r="J46" s="1" t="s">
        <v>232</v>
      </c>
      <c r="K46" s="1" t="s">
        <v>236</v>
      </c>
      <c r="L46" s="3" t="s">
        <v>211</v>
      </c>
      <c r="M46" s="3" t="s">
        <v>244</v>
      </c>
      <c r="N46" s="3" t="s">
        <v>247</v>
      </c>
      <c r="O46" s="1">
        <v>256</v>
      </c>
      <c r="P46" s="1">
        <v>1700</v>
      </c>
      <c r="Q46" s="1">
        <v>25</v>
      </c>
      <c r="R46" s="4">
        <f>Table1_1[[#This Row],[Rate]]*Table1_1[[#This Row],[Quantity]]</f>
        <v>42500</v>
      </c>
    </row>
    <row r="47" spans="1:18" x14ac:dyDescent="0.3">
      <c r="A47" s="1" t="s">
        <v>97</v>
      </c>
      <c r="B47" s="2">
        <v>45825</v>
      </c>
      <c r="C47" s="1" t="s">
        <v>13</v>
      </c>
      <c r="D47" s="1" t="s">
        <v>14</v>
      </c>
      <c r="E47" s="1" t="s">
        <v>98</v>
      </c>
      <c r="F47" s="1" t="s">
        <v>57</v>
      </c>
      <c r="G47" s="1" t="s">
        <v>25</v>
      </c>
      <c r="H47" s="2">
        <v>45827</v>
      </c>
      <c r="I47" s="1" t="s">
        <v>48</v>
      </c>
      <c r="J47" s="1" t="s">
        <v>237</v>
      </c>
      <c r="K47" s="1" t="s">
        <v>229</v>
      </c>
      <c r="L47" s="3" t="s">
        <v>211</v>
      </c>
      <c r="M47" s="3" t="s">
        <v>244</v>
      </c>
      <c r="N47" s="3" t="s">
        <v>247</v>
      </c>
      <c r="O47" s="1">
        <v>306</v>
      </c>
      <c r="P47" s="1">
        <v>2650</v>
      </c>
      <c r="Q47" s="1">
        <v>35</v>
      </c>
      <c r="R47" s="4">
        <f>Table1_1[[#This Row],[Rate]]*Table1_1[[#This Row],[Quantity]]</f>
        <v>92750</v>
      </c>
    </row>
    <row r="48" spans="1:18" x14ac:dyDescent="0.3">
      <c r="A48" s="1" t="s">
        <v>99</v>
      </c>
      <c r="B48" s="2">
        <v>45832</v>
      </c>
      <c r="C48" s="1" t="s">
        <v>13</v>
      </c>
      <c r="D48" s="1" t="s">
        <v>14</v>
      </c>
      <c r="E48" s="1" t="s">
        <v>84</v>
      </c>
      <c r="F48" s="1" t="s">
        <v>57</v>
      </c>
      <c r="G48" s="1" t="s">
        <v>25</v>
      </c>
      <c r="H48" s="2">
        <v>45834</v>
      </c>
      <c r="I48" s="1" t="s">
        <v>48</v>
      </c>
      <c r="J48" s="1" t="s">
        <v>237</v>
      </c>
      <c r="K48" s="1" t="s">
        <v>229</v>
      </c>
      <c r="L48" s="3" t="s">
        <v>211</v>
      </c>
      <c r="M48" s="3" t="s">
        <v>244</v>
      </c>
      <c r="N48" s="3" t="s">
        <v>247</v>
      </c>
      <c r="O48" s="1">
        <v>326</v>
      </c>
      <c r="P48" s="1">
        <v>2650</v>
      </c>
      <c r="Q48" s="1">
        <v>35</v>
      </c>
      <c r="R48" s="4">
        <f>Table1_1[[#This Row],[Rate]]*Table1_1[[#This Row],[Quantity]]</f>
        <v>92750</v>
      </c>
    </row>
    <row r="49" spans="1:18" x14ac:dyDescent="0.3">
      <c r="A49" s="1" t="s">
        <v>100</v>
      </c>
      <c r="B49" s="2">
        <v>45834</v>
      </c>
      <c r="C49" s="1" t="s">
        <v>13</v>
      </c>
      <c r="D49" s="1" t="s">
        <v>14</v>
      </c>
      <c r="E49" s="1" t="s">
        <v>101</v>
      </c>
      <c r="F49" s="1" t="s">
        <v>102</v>
      </c>
      <c r="G49" s="1" t="s">
        <v>103</v>
      </c>
      <c r="H49" s="2">
        <v>45838</v>
      </c>
      <c r="I49" s="1" t="s">
        <v>18</v>
      </c>
      <c r="J49" s="1" t="s">
        <v>237</v>
      </c>
      <c r="K49" s="1" t="s">
        <v>229</v>
      </c>
      <c r="L49" s="3" t="s">
        <v>212</v>
      </c>
      <c r="M49" s="3" t="s">
        <v>245</v>
      </c>
      <c r="N49" s="3" t="s">
        <v>247</v>
      </c>
      <c r="O49" s="1">
        <v>595</v>
      </c>
      <c r="P49" s="1">
        <v>3900</v>
      </c>
      <c r="Q49" s="1">
        <v>25</v>
      </c>
      <c r="R49" s="4">
        <f>Table1_1[[#This Row],[Rate]]*Table1_1[[#This Row],[Quantity]]</f>
        <v>97500</v>
      </c>
    </row>
    <row r="50" spans="1:18" x14ac:dyDescent="0.3">
      <c r="A50" s="1" t="s">
        <v>100</v>
      </c>
      <c r="B50" s="2">
        <v>45834</v>
      </c>
      <c r="C50" s="1" t="s">
        <v>13</v>
      </c>
      <c r="D50" s="1" t="s">
        <v>14</v>
      </c>
      <c r="E50" s="1" t="s">
        <v>101</v>
      </c>
      <c r="F50" s="1" t="s">
        <v>102</v>
      </c>
      <c r="G50" s="1" t="s">
        <v>103</v>
      </c>
      <c r="H50" s="2">
        <v>45838</v>
      </c>
      <c r="I50" s="1" t="s">
        <v>18</v>
      </c>
      <c r="J50" s="1" t="s">
        <v>237</v>
      </c>
      <c r="K50" s="1" t="s">
        <v>229</v>
      </c>
      <c r="L50" s="3" t="s">
        <v>220</v>
      </c>
      <c r="M50" s="3" t="s">
        <v>246</v>
      </c>
      <c r="N50" s="3" t="s">
        <v>248</v>
      </c>
      <c r="O50" s="1">
        <v>595</v>
      </c>
      <c r="P50" s="1">
        <v>16800</v>
      </c>
      <c r="Q50" s="1">
        <v>5</v>
      </c>
      <c r="R50" s="4">
        <f>Table1_1[[#This Row],[Rate]]*Table1_1[[#This Row],[Quantity]]</f>
        <v>84000</v>
      </c>
    </row>
    <row r="51" spans="1:18" x14ac:dyDescent="0.3">
      <c r="A51" s="1" t="s">
        <v>104</v>
      </c>
      <c r="B51" s="2">
        <v>45835</v>
      </c>
      <c r="C51" s="1" t="s">
        <v>13</v>
      </c>
      <c r="D51" s="1" t="s">
        <v>14</v>
      </c>
      <c r="E51" s="1" t="s">
        <v>98</v>
      </c>
      <c r="F51" s="1" t="s">
        <v>57</v>
      </c>
      <c r="G51" s="1" t="s">
        <v>25</v>
      </c>
      <c r="H51" s="2">
        <v>45837</v>
      </c>
      <c r="I51" s="1" t="s">
        <v>48</v>
      </c>
      <c r="J51" s="1" t="s">
        <v>237</v>
      </c>
      <c r="K51" s="1" t="s">
        <v>229</v>
      </c>
      <c r="L51" s="3" t="s">
        <v>211</v>
      </c>
      <c r="M51" s="3" t="s">
        <v>244</v>
      </c>
      <c r="N51" s="3" t="s">
        <v>247</v>
      </c>
      <c r="O51" s="1">
        <v>306</v>
      </c>
      <c r="P51" s="1">
        <v>2650</v>
      </c>
      <c r="Q51" s="1">
        <v>35</v>
      </c>
      <c r="R51" s="4">
        <f>Table1_1[[#This Row],[Rate]]*Table1_1[[#This Row],[Quantity]]</f>
        <v>92750</v>
      </c>
    </row>
    <row r="52" spans="1:18" x14ac:dyDescent="0.3">
      <c r="A52" s="1" t="s">
        <v>105</v>
      </c>
      <c r="B52" s="2">
        <v>45835</v>
      </c>
      <c r="C52" s="1" t="s">
        <v>93</v>
      </c>
      <c r="D52" s="1" t="s">
        <v>94</v>
      </c>
      <c r="E52" s="1" t="s">
        <v>95</v>
      </c>
      <c r="F52" s="1" t="s">
        <v>96</v>
      </c>
      <c r="G52" s="1" t="s">
        <v>17</v>
      </c>
      <c r="H52" s="2">
        <v>45836</v>
      </c>
      <c r="I52" s="1" t="s">
        <v>18</v>
      </c>
      <c r="J52" s="1" t="s">
        <v>232</v>
      </c>
      <c r="K52" s="1" t="s">
        <v>236</v>
      </c>
      <c r="L52" s="3" t="s">
        <v>211</v>
      </c>
      <c r="M52" s="3" t="s">
        <v>244</v>
      </c>
      <c r="N52" s="3" t="s">
        <v>247</v>
      </c>
      <c r="O52" s="1">
        <v>256</v>
      </c>
      <c r="P52" s="1">
        <v>1700</v>
      </c>
      <c r="Q52" s="1">
        <v>30</v>
      </c>
      <c r="R52" s="4">
        <f>Table1_1[[#This Row],[Rate]]*Table1_1[[#This Row],[Quantity]]</f>
        <v>51000</v>
      </c>
    </row>
    <row r="53" spans="1:18" x14ac:dyDescent="0.3">
      <c r="A53" s="1" t="s">
        <v>106</v>
      </c>
      <c r="B53" s="2">
        <v>45855</v>
      </c>
      <c r="C53" s="1" t="s">
        <v>21</v>
      </c>
      <c r="D53" s="1" t="s">
        <v>22</v>
      </c>
      <c r="E53" s="1" t="s">
        <v>107</v>
      </c>
      <c r="F53" s="1" t="s">
        <v>108</v>
      </c>
      <c r="G53" s="1" t="s">
        <v>17</v>
      </c>
      <c r="H53" s="2">
        <v>45856</v>
      </c>
      <c r="I53" s="1" t="s">
        <v>18</v>
      </c>
      <c r="J53" s="1" t="s">
        <v>238</v>
      </c>
      <c r="K53" s="1" t="s">
        <v>230</v>
      </c>
      <c r="L53" s="3" t="s">
        <v>216</v>
      </c>
      <c r="M53" s="3" t="s">
        <v>244</v>
      </c>
      <c r="N53" s="3" t="s">
        <v>247</v>
      </c>
      <c r="O53" s="1">
        <v>180</v>
      </c>
      <c r="P53" s="1">
        <v>3100</v>
      </c>
      <c r="Q53" s="1">
        <v>25</v>
      </c>
      <c r="R53" s="4">
        <f>Table1_1[[#This Row],[Rate]]*Table1_1[[#This Row],[Quantity]]</f>
        <v>77500</v>
      </c>
    </row>
    <row r="54" spans="1:18" x14ac:dyDescent="0.3">
      <c r="A54" s="1" t="s">
        <v>109</v>
      </c>
      <c r="B54" s="2">
        <v>45876</v>
      </c>
      <c r="C54" s="1" t="s">
        <v>110</v>
      </c>
      <c r="D54" s="1" t="s">
        <v>111</v>
      </c>
      <c r="E54" s="1" t="s">
        <v>112</v>
      </c>
      <c r="F54" s="1" t="s">
        <v>113</v>
      </c>
      <c r="G54" s="1" t="s">
        <v>17</v>
      </c>
      <c r="H54" s="2">
        <v>45849</v>
      </c>
      <c r="I54" s="1" t="s">
        <v>18</v>
      </c>
      <c r="J54" s="1" t="s">
        <v>238</v>
      </c>
      <c r="K54" s="1" t="s">
        <v>114</v>
      </c>
      <c r="L54" s="3" t="s">
        <v>219</v>
      </c>
      <c r="M54" s="3" t="s">
        <v>243</v>
      </c>
      <c r="N54" s="3" t="s">
        <v>247</v>
      </c>
      <c r="O54" s="1">
        <v>475</v>
      </c>
      <c r="P54" s="1">
        <v>4400</v>
      </c>
      <c r="Q54" s="1">
        <v>25</v>
      </c>
      <c r="R54" s="4">
        <f>Table1_1[[#This Row],[Rate]]*Table1_1[[#This Row],[Quantity]]</f>
        <v>110000</v>
      </c>
    </row>
    <row r="55" spans="1:18" x14ac:dyDescent="0.3">
      <c r="A55" s="1" t="s">
        <v>115</v>
      </c>
      <c r="B55" s="2">
        <v>45880</v>
      </c>
      <c r="C55" s="1" t="s">
        <v>110</v>
      </c>
      <c r="D55" s="1" t="s">
        <v>111</v>
      </c>
      <c r="E55" s="1" t="s">
        <v>116</v>
      </c>
      <c r="F55" s="1" t="s">
        <v>117</v>
      </c>
      <c r="G55" s="1" t="s">
        <v>17</v>
      </c>
      <c r="H55" s="2">
        <v>45851</v>
      </c>
      <c r="I55" s="1" t="s">
        <v>18</v>
      </c>
      <c r="J55" s="1" t="s">
        <v>238</v>
      </c>
      <c r="K55" s="1" t="s">
        <v>114</v>
      </c>
      <c r="L55" s="3" t="s">
        <v>219</v>
      </c>
      <c r="M55" s="3" t="s">
        <v>243</v>
      </c>
      <c r="N55" s="3" t="s">
        <v>247</v>
      </c>
      <c r="O55" s="1">
        <v>263</v>
      </c>
      <c r="P55" s="1">
        <v>3300</v>
      </c>
      <c r="Q55" s="1">
        <v>25</v>
      </c>
      <c r="R55" s="4">
        <f>Table1_1[[#This Row],[Rate]]*Table1_1[[#This Row],[Quantity]]</f>
        <v>82500</v>
      </c>
    </row>
    <row r="56" spans="1:18" x14ac:dyDescent="0.3">
      <c r="A56" s="1" t="s">
        <v>118</v>
      </c>
      <c r="B56" s="2">
        <v>45903</v>
      </c>
      <c r="C56" s="1" t="s">
        <v>119</v>
      </c>
      <c r="D56" s="1" t="s">
        <v>120</v>
      </c>
      <c r="E56" s="1" t="s">
        <v>121</v>
      </c>
      <c r="F56" s="1" t="s">
        <v>122</v>
      </c>
      <c r="G56" s="1" t="s">
        <v>41</v>
      </c>
      <c r="H56" s="2">
        <v>45906</v>
      </c>
      <c r="I56" s="1" t="s">
        <v>18</v>
      </c>
      <c r="J56" s="1" t="s">
        <v>231</v>
      </c>
      <c r="K56" s="1" t="s">
        <v>230</v>
      </c>
      <c r="L56" s="3" t="s">
        <v>211</v>
      </c>
      <c r="M56" s="3" t="s">
        <v>244</v>
      </c>
      <c r="N56" s="3" t="s">
        <v>247</v>
      </c>
      <c r="O56" s="1">
        <v>350</v>
      </c>
      <c r="P56" s="1">
        <v>4600</v>
      </c>
      <c r="Q56" s="1">
        <v>20</v>
      </c>
      <c r="R56" s="4">
        <f>Table1_1[[#This Row],[Rate]]*Table1_1[[#This Row],[Quantity]]</f>
        <v>92000</v>
      </c>
    </row>
    <row r="57" spans="1:18" x14ac:dyDescent="0.3">
      <c r="A57" s="1" t="s">
        <v>118</v>
      </c>
      <c r="B57" s="2">
        <v>45903</v>
      </c>
      <c r="C57" s="1" t="s">
        <v>119</v>
      </c>
      <c r="D57" s="1" t="s">
        <v>120</v>
      </c>
      <c r="E57" s="1" t="s">
        <v>121</v>
      </c>
      <c r="F57" s="1" t="s">
        <v>122</v>
      </c>
      <c r="G57" s="1" t="s">
        <v>41</v>
      </c>
      <c r="H57" s="2">
        <v>45906</v>
      </c>
      <c r="I57" s="1" t="s">
        <v>18</v>
      </c>
      <c r="J57" s="1" t="s">
        <v>231</v>
      </c>
      <c r="K57" s="1" t="s">
        <v>230</v>
      </c>
      <c r="L57" s="3" t="s">
        <v>217</v>
      </c>
      <c r="M57" s="3" t="s">
        <v>244</v>
      </c>
      <c r="N57" s="3" t="s">
        <v>247</v>
      </c>
      <c r="O57" s="1">
        <v>350</v>
      </c>
      <c r="P57" s="1">
        <v>4600</v>
      </c>
      <c r="Q57" s="1">
        <v>15</v>
      </c>
      <c r="R57" s="4">
        <f>Table1_1[[#This Row],[Rate]]*Table1_1[[#This Row],[Quantity]]</f>
        <v>69000</v>
      </c>
    </row>
    <row r="58" spans="1:18" x14ac:dyDescent="0.3">
      <c r="A58" s="1" t="s">
        <v>123</v>
      </c>
      <c r="B58" s="2">
        <v>45904</v>
      </c>
      <c r="C58" s="1" t="s">
        <v>33</v>
      </c>
      <c r="D58" s="1" t="s">
        <v>124</v>
      </c>
      <c r="E58" s="1" t="s">
        <v>125</v>
      </c>
      <c r="F58" s="1" t="s">
        <v>126</v>
      </c>
      <c r="G58" s="1" t="s">
        <v>17</v>
      </c>
      <c r="H58" s="2">
        <v>45906</v>
      </c>
      <c r="I58" s="1" t="s">
        <v>18</v>
      </c>
      <c r="J58" s="1" t="s">
        <v>237</v>
      </c>
      <c r="K58" s="1" t="s">
        <v>230</v>
      </c>
      <c r="L58" s="3" t="s">
        <v>211</v>
      </c>
      <c r="M58" s="3" t="s">
        <v>244</v>
      </c>
      <c r="N58" s="3" t="s">
        <v>247</v>
      </c>
      <c r="O58" s="1">
        <v>275</v>
      </c>
      <c r="P58" s="1">
        <v>3200</v>
      </c>
      <c r="Q58" s="1">
        <v>25</v>
      </c>
      <c r="R58" s="4">
        <f>Table1_1[[#This Row],[Rate]]*Table1_1[[#This Row],[Quantity]]</f>
        <v>80000</v>
      </c>
    </row>
    <row r="59" spans="1:18" x14ac:dyDescent="0.3">
      <c r="A59" s="1" t="s">
        <v>127</v>
      </c>
      <c r="B59" s="2">
        <v>45913</v>
      </c>
      <c r="C59" s="1" t="s">
        <v>93</v>
      </c>
      <c r="D59" s="1" t="s">
        <v>128</v>
      </c>
      <c r="E59" s="1" t="s">
        <v>95</v>
      </c>
      <c r="F59" s="1" t="s">
        <v>96</v>
      </c>
      <c r="G59" s="1" t="s">
        <v>17</v>
      </c>
      <c r="H59" s="2">
        <v>45914</v>
      </c>
      <c r="I59" s="1" t="s">
        <v>18</v>
      </c>
      <c r="J59" s="1" t="s">
        <v>232</v>
      </c>
      <c r="K59" s="1" t="s">
        <v>236</v>
      </c>
      <c r="L59" s="3" t="s">
        <v>216</v>
      </c>
      <c r="M59" s="3" t="s">
        <v>244</v>
      </c>
      <c r="N59" s="3" t="s">
        <v>247</v>
      </c>
      <c r="O59" s="1">
        <v>256</v>
      </c>
      <c r="P59" s="1">
        <v>2900</v>
      </c>
      <c r="Q59" s="1">
        <v>25</v>
      </c>
      <c r="R59" s="4">
        <f>Table1_1[[#This Row],[Rate]]*Table1_1[[#This Row],[Quantity]]</f>
        <v>72500</v>
      </c>
    </row>
    <row r="60" spans="1:18" x14ac:dyDescent="0.3">
      <c r="A60" s="1" t="s">
        <v>129</v>
      </c>
      <c r="B60" s="2">
        <v>45916</v>
      </c>
      <c r="C60" s="1" t="s">
        <v>33</v>
      </c>
      <c r="D60" s="1" t="s">
        <v>124</v>
      </c>
      <c r="E60" s="1" t="s">
        <v>125</v>
      </c>
      <c r="F60" s="1" t="s">
        <v>126</v>
      </c>
      <c r="G60" s="1" t="s">
        <v>17</v>
      </c>
      <c r="H60" s="2">
        <v>45918</v>
      </c>
      <c r="I60" s="1" t="s">
        <v>18</v>
      </c>
      <c r="J60" s="1" t="s">
        <v>237</v>
      </c>
      <c r="K60" s="1" t="s">
        <v>230</v>
      </c>
      <c r="L60" s="3" t="s">
        <v>211</v>
      </c>
      <c r="M60" s="3" t="s">
        <v>244</v>
      </c>
      <c r="N60" s="3" t="s">
        <v>247</v>
      </c>
      <c r="O60" s="1">
        <v>275</v>
      </c>
      <c r="P60" s="1">
        <v>3600</v>
      </c>
      <c r="Q60" s="1">
        <v>18</v>
      </c>
      <c r="R60" s="4">
        <f>Table1_1[[#This Row],[Rate]]*Table1_1[[#This Row],[Quantity]]</f>
        <v>64800</v>
      </c>
    </row>
    <row r="61" spans="1:18" x14ac:dyDescent="0.3">
      <c r="A61" s="1" t="s">
        <v>130</v>
      </c>
      <c r="B61" s="2">
        <v>45916</v>
      </c>
      <c r="C61" s="1" t="s">
        <v>93</v>
      </c>
      <c r="D61" s="1" t="s">
        <v>128</v>
      </c>
      <c r="E61" s="1" t="s">
        <v>95</v>
      </c>
      <c r="F61" s="1" t="s">
        <v>96</v>
      </c>
      <c r="G61" s="1" t="s">
        <v>17</v>
      </c>
      <c r="H61" s="2">
        <v>45917</v>
      </c>
      <c r="I61" s="1" t="s">
        <v>18</v>
      </c>
      <c r="J61" s="1" t="s">
        <v>232</v>
      </c>
      <c r="K61" s="1" t="s">
        <v>236</v>
      </c>
      <c r="L61" s="3" t="s">
        <v>216</v>
      </c>
      <c r="M61" s="3" t="s">
        <v>244</v>
      </c>
      <c r="N61" s="3" t="s">
        <v>247</v>
      </c>
      <c r="O61" s="1">
        <v>256</v>
      </c>
      <c r="P61" s="1">
        <v>2900</v>
      </c>
      <c r="Q61" s="1">
        <v>25</v>
      </c>
      <c r="R61" s="4">
        <f>Table1_1[[#This Row],[Rate]]*Table1_1[[#This Row],[Quantity]]</f>
        <v>72500</v>
      </c>
    </row>
    <row r="62" spans="1:18" x14ac:dyDescent="0.3">
      <c r="A62" s="1" t="s">
        <v>131</v>
      </c>
      <c r="B62" s="2">
        <v>45917</v>
      </c>
      <c r="C62" s="1" t="s">
        <v>93</v>
      </c>
      <c r="D62" s="1" t="s">
        <v>128</v>
      </c>
      <c r="E62" s="1" t="s">
        <v>95</v>
      </c>
      <c r="F62" s="1" t="s">
        <v>96</v>
      </c>
      <c r="G62" s="1" t="s">
        <v>17</v>
      </c>
      <c r="H62" s="2">
        <v>45919</v>
      </c>
      <c r="I62" s="1" t="s">
        <v>18</v>
      </c>
      <c r="J62" s="1" t="s">
        <v>232</v>
      </c>
      <c r="K62" s="1" t="s">
        <v>236</v>
      </c>
      <c r="L62" s="3" t="s">
        <v>216</v>
      </c>
      <c r="M62" s="3" t="s">
        <v>244</v>
      </c>
      <c r="N62" s="3" t="s">
        <v>247</v>
      </c>
      <c r="O62" s="1">
        <v>256</v>
      </c>
      <c r="P62" s="1">
        <v>1600</v>
      </c>
      <c r="Q62" s="1">
        <v>25</v>
      </c>
      <c r="R62" s="4">
        <f>Table1_1[[#This Row],[Rate]]*Table1_1[[#This Row],[Quantity]]</f>
        <v>40000</v>
      </c>
    </row>
    <row r="63" spans="1:18" x14ac:dyDescent="0.3">
      <c r="A63" s="1" t="s">
        <v>132</v>
      </c>
      <c r="B63" s="2">
        <v>45918</v>
      </c>
      <c r="C63" s="1" t="s">
        <v>93</v>
      </c>
      <c r="D63" s="1" t="s">
        <v>128</v>
      </c>
      <c r="E63" s="1" t="s">
        <v>95</v>
      </c>
      <c r="F63" s="1" t="s">
        <v>96</v>
      </c>
      <c r="G63" s="1" t="s">
        <v>17</v>
      </c>
      <c r="H63" s="2">
        <v>45920</v>
      </c>
      <c r="I63" s="1" t="s">
        <v>18</v>
      </c>
      <c r="J63" s="1" t="s">
        <v>232</v>
      </c>
      <c r="K63" s="1" t="s">
        <v>236</v>
      </c>
      <c r="L63" s="3" t="s">
        <v>216</v>
      </c>
      <c r="M63" s="3" t="s">
        <v>244</v>
      </c>
      <c r="N63" s="3" t="s">
        <v>247</v>
      </c>
      <c r="O63" s="1">
        <v>256</v>
      </c>
      <c r="P63" s="1">
        <v>2900</v>
      </c>
      <c r="Q63" s="1">
        <v>35</v>
      </c>
      <c r="R63" s="4">
        <f>Table1_1[[#This Row],[Rate]]*Table1_1[[#This Row],[Quantity]]</f>
        <v>101500</v>
      </c>
    </row>
    <row r="64" spans="1:18" x14ac:dyDescent="0.3">
      <c r="A64" s="1" t="s">
        <v>133</v>
      </c>
      <c r="B64" s="2">
        <v>45919</v>
      </c>
      <c r="C64" s="1" t="s">
        <v>134</v>
      </c>
      <c r="D64" s="1" t="s">
        <v>135</v>
      </c>
      <c r="E64" s="1" t="s">
        <v>136</v>
      </c>
      <c r="F64" s="1" t="s">
        <v>137</v>
      </c>
      <c r="G64" s="1" t="s">
        <v>41</v>
      </c>
      <c r="H64" s="2">
        <v>45922</v>
      </c>
      <c r="I64" s="1" t="s">
        <v>18</v>
      </c>
      <c r="J64" s="1" t="s">
        <v>237</v>
      </c>
      <c r="K64" s="1" t="s">
        <v>230</v>
      </c>
      <c r="L64" s="3" t="s">
        <v>217</v>
      </c>
      <c r="M64" s="3" t="s">
        <v>244</v>
      </c>
      <c r="N64" s="3" t="s">
        <v>247</v>
      </c>
      <c r="O64" s="1">
        <v>392</v>
      </c>
      <c r="P64" s="1">
        <v>3600</v>
      </c>
      <c r="Q64" s="1">
        <v>35</v>
      </c>
      <c r="R64" s="4">
        <f>Table1_1[[#This Row],[Rate]]*Table1_1[[#This Row],[Quantity]]</f>
        <v>126000</v>
      </c>
    </row>
    <row r="65" spans="1:18" x14ac:dyDescent="0.3">
      <c r="A65" s="1" t="s">
        <v>138</v>
      </c>
      <c r="B65" s="2">
        <v>45923</v>
      </c>
      <c r="C65" s="1" t="s">
        <v>134</v>
      </c>
      <c r="D65" s="1" t="s">
        <v>135</v>
      </c>
      <c r="E65" s="1" t="s">
        <v>136</v>
      </c>
      <c r="F65" s="1" t="s">
        <v>137</v>
      </c>
      <c r="G65" s="1" t="s">
        <v>41</v>
      </c>
      <c r="H65" s="2">
        <v>45926</v>
      </c>
      <c r="I65" s="1" t="s">
        <v>18</v>
      </c>
      <c r="J65" s="1" t="s">
        <v>237</v>
      </c>
      <c r="K65" s="1" t="s">
        <v>230</v>
      </c>
      <c r="L65" s="3" t="s">
        <v>211</v>
      </c>
      <c r="M65" s="3" t="s">
        <v>244</v>
      </c>
      <c r="N65" s="3" t="s">
        <v>247</v>
      </c>
      <c r="O65" s="1">
        <v>392</v>
      </c>
      <c r="P65" s="1">
        <v>3400</v>
      </c>
      <c r="Q65" s="1">
        <v>30</v>
      </c>
      <c r="R65" s="4">
        <f>Table1_1[[#This Row],[Rate]]*Table1_1[[#This Row],[Quantity]]</f>
        <v>102000</v>
      </c>
    </row>
    <row r="66" spans="1:18" x14ac:dyDescent="0.3">
      <c r="A66" s="1" t="s">
        <v>138</v>
      </c>
      <c r="B66" s="2">
        <v>45923</v>
      </c>
      <c r="C66" s="1" t="s">
        <v>134</v>
      </c>
      <c r="D66" s="1" t="s">
        <v>135</v>
      </c>
      <c r="E66" s="1" t="s">
        <v>136</v>
      </c>
      <c r="F66" s="1" t="s">
        <v>137</v>
      </c>
      <c r="G66" s="1" t="s">
        <v>41</v>
      </c>
      <c r="H66" s="2">
        <v>45926</v>
      </c>
      <c r="I66" s="1" t="s">
        <v>18</v>
      </c>
      <c r="J66" s="1" t="s">
        <v>237</v>
      </c>
      <c r="K66" s="1" t="s">
        <v>230</v>
      </c>
      <c r="L66" s="3" t="s">
        <v>222</v>
      </c>
      <c r="M66" s="3" t="s">
        <v>246</v>
      </c>
      <c r="N66" s="3" t="s">
        <v>248</v>
      </c>
      <c r="O66" s="1">
        <v>392</v>
      </c>
      <c r="P66" s="1">
        <v>14400</v>
      </c>
      <c r="Q66" s="1">
        <v>5</v>
      </c>
      <c r="R66" s="4">
        <f>Table1_1[[#This Row],[Rate]]*Table1_1[[#This Row],[Quantity]]</f>
        <v>72000</v>
      </c>
    </row>
    <row r="67" spans="1:18" x14ac:dyDescent="0.3">
      <c r="A67" s="1" t="s">
        <v>139</v>
      </c>
      <c r="B67" s="2">
        <v>45923</v>
      </c>
      <c r="C67" s="1" t="s">
        <v>134</v>
      </c>
      <c r="D67" s="1" t="s">
        <v>135</v>
      </c>
      <c r="E67" s="1" t="s">
        <v>136</v>
      </c>
      <c r="F67" s="1" t="s">
        <v>137</v>
      </c>
      <c r="G67" s="1" t="s">
        <v>41</v>
      </c>
      <c r="H67" s="2">
        <v>45926</v>
      </c>
      <c r="I67" s="1" t="s">
        <v>18</v>
      </c>
      <c r="J67" s="1" t="s">
        <v>237</v>
      </c>
      <c r="K67" s="1" t="s">
        <v>230</v>
      </c>
      <c r="L67" s="3" t="s">
        <v>211</v>
      </c>
      <c r="M67" s="3" t="s">
        <v>244</v>
      </c>
      <c r="N67" s="3" t="s">
        <v>247</v>
      </c>
      <c r="O67" s="1">
        <v>392</v>
      </c>
      <c r="P67" s="1">
        <v>3400</v>
      </c>
      <c r="Q67" s="1">
        <v>35</v>
      </c>
      <c r="R67" s="4">
        <f>Table1_1[[#This Row],[Rate]]*Table1_1[[#This Row],[Quantity]]</f>
        <v>119000</v>
      </c>
    </row>
    <row r="68" spans="1:18" x14ac:dyDescent="0.3">
      <c r="A68" s="1" t="s">
        <v>140</v>
      </c>
      <c r="B68" s="2">
        <v>45924</v>
      </c>
      <c r="C68" s="1" t="s">
        <v>141</v>
      </c>
      <c r="D68" s="1" t="s">
        <v>142</v>
      </c>
      <c r="E68" s="1" t="s">
        <v>143</v>
      </c>
      <c r="F68" s="1" t="s">
        <v>144</v>
      </c>
      <c r="G68" s="1" t="s">
        <v>41</v>
      </c>
      <c r="H68" s="2">
        <v>45926</v>
      </c>
      <c r="I68" s="1" t="s">
        <v>48</v>
      </c>
      <c r="J68" s="1" t="s">
        <v>238</v>
      </c>
      <c r="K68" s="1" t="s">
        <v>230</v>
      </c>
      <c r="L68" s="3" t="s">
        <v>211</v>
      </c>
      <c r="M68" s="3" t="s">
        <v>244</v>
      </c>
      <c r="N68" s="3" t="s">
        <v>247</v>
      </c>
      <c r="O68" s="1">
        <v>289</v>
      </c>
      <c r="P68" s="1">
        <v>3400</v>
      </c>
      <c r="Q68" s="1">
        <v>35</v>
      </c>
      <c r="R68" s="4">
        <f>Table1_1[[#This Row],[Rate]]*Table1_1[[#This Row],[Quantity]]</f>
        <v>119000</v>
      </c>
    </row>
    <row r="69" spans="1:18" x14ac:dyDescent="0.3">
      <c r="A69" s="1" t="s">
        <v>145</v>
      </c>
      <c r="B69" s="2">
        <v>45924</v>
      </c>
      <c r="C69" s="1" t="s">
        <v>93</v>
      </c>
      <c r="D69" s="1" t="s">
        <v>128</v>
      </c>
      <c r="E69" s="1" t="s">
        <v>95</v>
      </c>
      <c r="F69" s="1" t="s">
        <v>96</v>
      </c>
      <c r="G69" s="1" t="s">
        <v>17</v>
      </c>
      <c r="H69" s="2">
        <v>45926</v>
      </c>
      <c r="I69" s="1" t="s">
        <v>18</v>
      </c>
      <c r="J69" s="1" t="s">
        <v>232</v>
      </c>
      <c r="K69" s="1" t="s">
        <v>236</v>
      </c>
      <c r="L69" s="3" t="s">
        <v>216</v>
      </c>
      <c r="M69" s="3" t="s">
        <v>244</v>
      </c>
      <c r="N69" s="3" t="s">
        <v>247</v>
      </c>
      <c r="O69" s="1">
        <v>256</v>
      </c>
      <c r="P69" s="1">
        <v>2900</v>
      </c>
      <c r="Q69" s="1">
        <v>35</v>
      </c>
      <c r="R69" s="4">
        <f>Table1_1[[#This Row],[Rate]]*Table1_1[[#This Row],[Quantity]]</f>
        <v>101500</v>
      </c>
    </row>
    <row r="70" spans="1:18" x14ac:dyDescent="0.3">
      <c r="A70" s="1" t="s">
        <v>146</v>
      </c>
      <c r="B70" s="2">
        <v>45926</v>
      </c>
      <c r="C70" s="1" t="s">
        <v>141</v>
      </c>
      <c r="D70" s="1" t="s">
        <v>142</v>
      </c>
      <c r="E70" s="1" t="s">
        <v>143</v>
      </c>
      <c r="F70" s="1" t="s">
        <v>144</v>
      </c>
      <c r="G70" s="1" t="s">
        <v>41</v>
      </c>
      <c r="H70" s="2">
        <v>45928</v>
      </c>
      <c r="I70" s="1" t="s">
        <v>48</v>
      </c>
      <c r="J70" s="1" t="s">
        <v>238</v>
      </c>
      <c r="K70" s="1" t="s">
        <v>230</v>
      </c>
      <c r="L70" s="3" t="s">
        <v>211</v>
      </c>
      <c r="M70" s="3" t="s">
        <v>244</v>
      </c>
      <c r="N70" s="3" t="s">
        <v>247</v>
      </c>
      <c r="O70" s="1">
        <v>289</v>
      </c>
      <c r="P70" s="1">
        <v>3400</v>
      </c>
      <c r="Q70" s="1">
        <v>35</v>
      </c>
      <c r="R70" s="4">
        <f>Table1_1[[#This Row],[Rate]]*Table1_1[[#This Row],[Quantity]]</f>
        <v>119000</v>
      </c>
    </row>
    <row r="71" spans="1:18" x14ac:dyDescent="0.3">
      <c r="A71" s="1" t="s">
        <v>147</v>
      </c>
      <c r="B71" s="2">
        <v>45926</v>
      </c>
      <c r="C71" s="1" t="s">
        <v>93</v>
      </c>
      <c r="D71" s="1" t="s">
        <v>128</v>
      </c>
      <c r="E71" s="1" t="s">
        <v>95</v>
      </c>
      <c r="F71" s="1" t="s">
        <v>96</v>
      </c>
      <c r="G71" s="1" t="s">
        <v>17</v>
      </c>
      <c r="H71" s="2">
        <v>45928</v>
      </c>
      <c r="I71" s="1" t="s">
        <v>18</v>
      </c>
      <c r="J71" s="1" t="s">
        <v>232</v>
      </c>
      <c r="K71" s="1" t="s">
        <v>236</v>
      </c>
      <c r="L71" s="3" t="s">
        <v>216</v>
      </c>
      <c r="M71" s="3" t="s">
        <v>244</v>
      </c>
      <c r="N71" s="3" t="s">
        <v>247</v>
      </c>
      <c r="O71" s="1">
        <v>256</v>
      </c>
      <c r="P71" s="1">
        <v>2900</v>
      </c>
      <c r="Q71" s="1">
        <v>35</v>
      </c>
      <c r="R71" s="4">
        <f>Table1_1[[#This Row],[Rate]]*Table1_1[[#This Row],[Quantity]]</f>
        <v>101500</v>
      </c>
    </row>
    <row r="72" spans="1:18" x14ac:dyDescent="0.3">
      <c r="A72" s="1" t="s">
        <v>148</v>
      </c>
      <c r="B72" s="2">
        <v>45944</v>
      </c>
      <c r="C72" s="1" t="s">
        <v>13</v>
      </c>
      <c r="D72" s="1" t="s">
        <v>14</v>
      </c>
      <c r="E72" s="1" t="s">
        <v>84</v>
      </c>
      <c r="F72" s="1" t="s">
        <v>57</v>
      </c>
      <c r="G72" s="1" t="s">
        <v>25</v>
      </c>
      <c r="H72" s="2">
        <v>45946</v>
      </c>
      <c r="I72" s="1" t="s">
        <v>48</v>
      </c>
      <c r="J72" s="1" t="s">
        <v>237</v>
      </c>
      <c r="K72" s="1" t="s">
        <v>229</v>
      </c>
      <c r="L72" s="3" t="s">
        <v>211</v>
      </c>
      <c r="M72" s="3" t="s">
        <v>244</v>
      </c>
      <c r="N72" s="3" t="s">
        <v>247</v>
      </c>
      <c r="O72" s="1">
        <v>326</v>
      </c>
      <c r="P72" s="1">
        <v>2700</v>
      </c>
      <c r="Q72" s="1">
        <v>35</v>
      </c>
      <c r="R72" s="4">
        <f>Table1_1[[#This Row],[Rate]]*Table1_1[[#This Row],[Quantity]]</f>
        <v>94500</v>
      </c>
    </row>
    <row r="73" spans="1:18" x14ac:dyDescent="0.3">
      <c r="A73" s="1" t="s">
        <v>149</v>
      </c>
      <c r="B73" s="2">
        <v>45945</v>
      </c>
      <c r="C73" s="1" t="s">
        <v>141</v>
      </c>
      <c r="D73" s="1" t="s">
        <v>142</v>
      </c>
      <c r="E73" s="1" t="s">
        <v>143</v>
      </c>
      <c r="F73" s="1" t="s">
        <v>144</v>
      </c>
      <c r="G73" s="1" t="s">
        <v>41</v>
      </c>
      <c r="H73" s="2">
        <v>45947</v>
      </c>
      <c r="I73" s="1" t="s">
        <v>48</v>
      </c>
      <c r="J73" s="1" t="s">
        <v>238</v>
      </c>
      <c r="K73" s="1" t="s">
        <v>230</v>
      </c>
      <c r="L73" s="3" t="s">
        <v>211</v>
      </c>
      <c r="M73" s="3" t="s">
        <v>244</v>
      </c>
      <c r="N73" s="3" t="s">
        <v>247</v>
      </c>
      <c r="O73" s="1">
        <v>289</v>
      </c>
      <c r="P73" s="1">
        <v>3400</v>
      </c>
      <c r="Q73" s="1">
        <v>35</v>
      </c>
      <c r="R73" s="4">
        <f>Table1_1[[#This Row],[Rate]]*Table1_1[[#This Row],[Quantity]]</f>
        <v>119000</v>
      </c>
    </row>
    <row r="74" spans="1:18" x14ac:dyDescent="0.3">
      <c r="A74" s="1" t="s">
        <v>150</v>
      </c>
      <c r="B74" s="2">
        <v>45948</v>
      </c>
      <c r="C74" s="1" t="s">
        <v>13</v>
      </c>
      <c r="D74" s="1" t="s">
        <v>14</v>
      </c>
      <c r="E74" s="1" t="s">
        <v>60</v>
      </c>
      <c r="F74" s="1" t="s">
        <v>57</v>
      </c>
      <c r="G74" s="1" t="s">
        <v>25</v>
      </c>
      <c r="H74" s="2">
        <v>45950</v>
      </c>
      <c r="I74" s="1" t="s">
        <v>48</v>
      </c>
      <c r="J74" s="1" t="s">
        <v>237</v>
      </c>
      <c r="K74" s="1" t="s">
        <v>230</v>
      </c>
      <c r="L74" s="3" t="s">
        <v>211</v>
      </c>
      <c r="M74" s="3" t="s">
        <v>244</v>
      </c>
      <c r="N74" s="3" t="s">
        <v>247</v>
      </c>
      <c r="O74" s="1">
        <v>232</v>
      </c>
      <c r="P74" s="1">
        <v>2800</v>
      </c>
      <c r="Q74" s="1">
        <v>30</v>
      </c>
      <c r="R74" s="4">
        <f>Table1_1[[#This Row],[Rate]]*Table1_1[[#This Row],[Quantity]]</f>
        <v>84000</v>
      </c>
    </row>
    <row r="75" spans="1:18" x14ac:dyDescent="0.3">
      <c r="A75" s="1" t="s">
        <v>151</v>
      </c>
      <c r="B75" s="2">
        <v>45956</v>
      </c>
      <c r="C75" s="1" t="s">
        <v>152</v>
      </c>
      <c r="D75" s="1" t="s">
        <v>153</v>
      </c>
      <c r="E75" s="1" t="s">
        <v>154</v>
      </c>
      <c r="F75" s="1" t="s">
        <v>155</v>
      </c>
      <c r="G75" s="1" t="s">
        <v>47</v>
      </c>
      <c r="H75" s="2">
        <v>45957</v>
      </c>
      <c r="I75" s="1" t="s">
        <v>18</v>
      </c>
      <c r="J75" s="1" t="s">
        <v>239</v>
      </c>
      <c r="K75" s="1" t="s">
        <v>230</v>
      </c>
      <c r="L75" s="3" t="s">
        <v>225</v>
      </c>
      <c r="M75" s="3" t="s">
        <v>243</v>
      </c>
      <c r="N75" s="3" t="s">
        <v>247</v>
      </c>
      <c r="O75" s="1">
        <v>40</v>
      </c>
      <c r="P75" s="1">
        <v>3200</v>
      </c>
      <c r="Q75" s="1">
        <v>5</v>
      </c>
      <c r="R75" s="4">
        <f>Table1_1[[#This Row],[Rate]]*Table1_1[[#This Row],[Quantity]]</f>
        <v>16000</v>
      </c>
    </row>
    <row r="76" spans="1:18" x14ac:dyDescent="0.3">
      <c r="A76" s="1" t="s">
        <v>151</v>
      </c>
      <c r="B76" s="2">
        <v>45956</v>
      </c>
      <c r="C76" s="1" t="s">
        <v>152</v>
      </c>
      <c r="D76" s="1" t="s">
        <v>153</v>
      </c>
      <c r="E76" s="1" t="s">
        <v>154</v>
      </c>
      <c r="F76" s="1" t="s">
        <v>155</v>
      </c>
      <c r="G76" s="1" t="s">
        <v>47</v>
      </c>
      <c r="H76" s="2">
        <v>45957</v>
      </c>
      <c r="I76" s="1" t="s">
        <v>18</v>
      </c>
      <c r="J76" s="1" t="s">
        <v>239</v>
      </c>
      <c r="K76" s="1" t="s">
        <v>230</v>
      </c>
      <c r="L76" s="3" t="s">
        <v>211</v>
      </c>
      <c r="M76" s="3" t="s">
        <v>244</v>
      </c>
      <c r="N76" s="3" t="s">
        <v>247</v>
      </c>
      <c r="O76" s="1">
        <v>40</v>
      </c>
      <c r="P76" s="1">
        <v>3200</v>
      </c>
      <c r="Q76" s="1">
        <v>5</v>
      </c>
      <c r="R76" s="4">
        <f>Table1_1[[#This Row],[Rate]]*Table1_1[[#This Row],[Quantity]]</f>
        <v>16000</v>
      </c>
    </row>
    <row r="77" spans="1:18" x14ac:dyDescent="0.3">
      <c r="A77" s="1" t="s">
        <v>151</v>
      </c>
      <c r="B77" s="2">
        <v>45956</v>
      </c>
      <c r="C77" s="1" t="s">
        <v>152</v>
      </c>
      <c r="D77" s="1" t="s">
        <v>153</v>
      </c>
      <c r="E77" s="1" t="s">
        <v>154</v>
      </c>
      <c r="F77" s="1" t="s">
        <v>155</v>
      </c>
      <c r="G77" s="1" t="s">
        <v>47</v>
      </c>
      <c r="H77" s="2">
        <v>45957</v>
      </c>
      <c r="I77" s="1" t="s">
        <v>18</v>
      </c>
      <c r="J77" s="1" t="s">
        <v>239</v>
      </c>
      <c r="K77" s="1" t="s">
        <v>230</v>
      </c>
      <c r="L77" s="3" t="s">
        <v>217</v>
      </c>
      <c r="M77" s="3" t="s">
        <v>244</v>
      </c>
      <c r="N77" s="3" t="s">
        <v>247</v>
      </c>
      <c r="O77" s="1">
        <v>40</v>
      </c>
      <c r="P77" s="1">
        <v>3200</v>
      </c>
      <c r="Q77" s="1">
        <v>5</v>
      </c>
      <c r="R77" s="4">
        <f>Table1_1[[#This Row],[Rate]]*Table1_1[[#This Row],[Quantity]]</f>
        <v>16000</v>
      </c>
    </row>
    <row r="78" spans="1:18" x14ac:dyDescent="0.3">
      <c r="A78" s="1" t="s">
        <v>151</v>
      </c>
      <c r="B78" s="2">
        <v>45956</v>
      </c>
      <c r="C78" s="1" t="s">
        <v>152</v>
      </c>
      <c r="D78" s="1" t="s">
        <v>153</v>
      </c>
      <c r="E78" s="1" t="s">
        <v>154</v>
      </c>
      <c r="F78" s="1" t="s">
        <v>155</v>
      </c>
      <c r="G78" s="1" t="s">
        <v>47</v>
      </c>
      <c r="H78" s="2">
        <v>45957</v>
      </c>
      <c r="I78" s="1" t="s">
        <v>18</v>
      </c>
      <c r="J78" s="1" t="s">
        <v>239</v>
      </c>
      <c r="K78" s="1" t="s">
        <v>230</v>
      </c>
      <c r="L78" s="3" t="s">
        <v>213</v>
      </c>
      <c r="M78" s="3" t="s">
        <v>245</v>
      </c>
      <c r="N78" s="3" t="s">
        <v>247</v>
      </c>
      <c r="O78" s="1">
        <v>40</v>
      </c>
      <c r="P78" s="1">
        <v>3200</v>
      </c>
      <c r="Q78" s="1">
        <v>5</v>
      </c>
      <c r="R78" s="4">
        <f>Table1_1[[#This Row],[Rate]]*Table1_1[[#This Row],[Quantity]]</f>
        <v>16000</v>
      </c>
    </row>
    <row r="79" spans="1:18" x14ac:dyDescent="0.3">
      <c r="A79" s="1" t="s">
        <v>151</v>
      </c>
      <c r="B79" s="2">
        <v>45956</v>
      </c>
      <c r="C79" s="1" t="s">
        <v>152</v>
      </c>
      <c r="D79" s="1" t="s">
        <v>153</v>
      </c>
      <c r="E79" s="1" t="s">
        <v>154</v>
      </c>
      <c r="F79" s="1" t="s">
        <v>155</v>
      </c>
      <c r="G79" s="1" t="s">
        <v>47</v>
      </c>
      <c r="H79" s="2">
        <v>45957</v>
      </c>
      <c r="I79" s="1" t="s">
        <v>18</v>
      </c>
      <c r="J79" s="1" t="s">
        <v>239</v>
      </c>
      <c r="K79" s="1" t="s">
        <v>230</v>
      </c>
      <c r="L79" s="3" t="s">
        <v>212</v>
      </c>
      <c r="M79" s="3" t="s">
        <v>245</v>
      </c>
      <c r="N79" s="3" t="s">
        <v>247</v>
      </c>
      <c r="O79" s="1">
        <v>40</v>
      </c>
      <c r="P79" s="1">
        <v>3200</v>
      </c>
      <c r="Q79" s="1">
        <v>5</v>
      </c>
      <c r="R79" s="4">
        <f>Table1_1[[#This Row],[Rate]]*Table1_1[[#This Row],[Quantity]]</f>
        <v>16000</v>
      </c>
    </row>
    <row r="80" spans="1:18" x14ac:dyDescent="0.3">
      <c r="A80" s="1" t="s">
        <v>156</v>
      </c>
      <c r="B80" s="2">
        <v>45957</v>
      </c>
      <c r="C80" s="1" t="s">
        <v>157</v>
      </c>
      <c r="D80" s="1" t="s">
        <v>158</v>
      </c>
      <c r="E80" s="1" t="s">
        <v>159</v>
      </c>
      <c r="F80" s="1" t="s">
        <v>160</v>
      </c>
      <c r="G80" s="1" t="s">
        <v>17</v>
      </c>
      <c r="H80" s="2">
        <v>45961</v>
      </c>
      <c r="I80" s="1" t="s">
        <v>18</v>
      </c>
      <c r="J80" s="1" t="s">
        <v>238</v>
      </c>
      <c r="K80" s="1" t="s">
        <v>230</v>
      </c>
      <c r="L80" s="3" t="s">
        <v>219</v>
      </c>
      <c r="M80" s="3" t="s">
        <v>243</v>
      </c>
      <c r="N80" s="3" t="s">
        <v>247</v>
      </c>
      <c r="O80" s="1">
        <v>594</v>
      </c>
      <c r="P80" s="1">
        <v>4400</v>
      </c>
      <c r="Q80" s="1">
        <v>35</v>
      </c>
      <c r="R80" s="4">
        <f>Table1_1[[#This Row],[Rate]]*Table1_1[[#This Row],[Quantity]]</f>
        <v>154000</v>
      </c>
    </row>
    <row r="81" spans="1:18" x14ac:dyDescent="0.3">
      <c r="A81" s="1" t="s">
        <v>161</v>
      </c>
      <c r="B81" s="2">
        <v>45959</v>
      </c>
      <c r="C81" s="1" t="s">
        <v>157</v>
      </c>
      <c r="D81" s="1" t="s">
        <v>158</v>
      </c>
      <c r="E81" s="1" t="s">
        <v>159</v>
      </c>
      <c r="F81" s="1" t="s">
        <v>160</v>
      </c>
      <c r="G81" s="1" t="s">
        <v>17</v>
      </c>
      <c r="H81" s="2">
        <v>45963</v>
      </c>
      <c r="I81" s="1" t="s">
        <v>18</v>
      </c>
      <c r="J81" s="1" t="s">
        <v>238</v>
      </c>
      <c r="K81" s="1" t="s">
        <v>230</v>
      </c>
      <c r="L81" s="3" t="s">
        <v>219</v>
      </c>
      <c r="M81" s="3" t="s">
        <v>243</v>
      </c>
      <c r="N81" s="3" t="s">
        <v>247</v>
      </c>
      <c r="O81" s="1">
        <v>594</v>
      </c>
      <c r="P81" s="1">
        <v>4400</v>
      </c>
      <c r="Q81" s="1">
        <v>10</v>
      </c>
      <c r="R81" s="4">
        <f>Table1_1[[#This Row],[Rate]]*Table1_1[[#This Row],[Quantity]]</f>
        <v>44000</v>
      </c>
    </row>
    <row r="82" spans="1:18" x14ac:dyDescent="0.3">
      <c r="A82" s="1" t="s">
        <v>161</v>
      </c>
      <c r="B82" s="2">
        <v>45959</v>
      </c>
      <c r="C82" s="1" t="s">
        <v>157</v>
      </c>
      <c r="D82" s="1" t="s">
        <v>158</v>
      </c>
      <c r="E82" s="1" t="s">
        <v>159</v>
      </c>
      <c r="F82" s="1" t="s">
        <v>160</v>
      </c>
      <c r="G82" s="1" t="s">
        <v>17</v>
      </c>
      <c r="H82" s="2">
        <v>45963</v>
      </c>
      <c r="I82" s="1" t="s">
        <v>18</v>
      </c>
      <c r="J82" s="1" t="s">
        <v>238</v>
      </c>
      <c r="K82" s="1" t="s">
        <v>230</v>
      </c>
      <c r="L82" s="3" t="s">
        <v>216</v>
      </c>
      <c r="M82" s="3" t="s">
        <v>244</v>
      </c>
      <c r="N82" s="3" t="s">
        <v>247</v>
      </c>
      <c r="O82" s="1">
        <v>594</v>
      </c>
      <c r="P82" s="1">
        <v>4400</v>
      </c>
      <c r="Q82" s="1">
        <v>8</v>
      </c>
      <c r="R82" s="4">
        <f>Table1_1[[#This Row],[Rate]]*Table1_1[[#This Row],[Quantity]]</f>
        <v>35200</v>
      </c>
    </row>
    <row r="83" spans="1:18" x14ac:dyDescent="0.3">
      <c r="A83" s="1" t="s">
        <v>161</v>
      </c>
      <c r="B83" s="2">
        <v>45959</v>
      </c>
      <c r="C83" s="1" t="s">
        <v>157</v>
      </c>
      <c r="D83" s="1" t="s">
        <v>158</v>
      </c>
      <c r="E83" s="1" t="s">
        <v>159</v>
      </c>
      <c r="F83" s="1" t="s">
        <v>160</v>
      </c>
      <c r="G83" s="1" t="s">
        <v>17</v>
      </c>
      <c r="H83" s="2">
        <v>45963</v>
      </c>
      <c r="I83" s="1" t="s">
        <v>18</v>
      </c>
      <c r="J83" s="1" t="s">
        <v>238</v>
      </c>
      <c r="K83" s="1" t="s">
        <v>230</v>
      </c>
      <c r="L83" s="3" t="s">
        <v>217</v>
      </c>
      <c r="M83" s="3" t="s">
        <v>244</v>
      </c>
      <c r="N83" s="3" t="s">
        <v>247</v>
      </c>
      <c r="O83" s="1">
        <v>594</v>
      </c>
      <c r="P83" s="1">
        <v>4400</v>
      </c>
      <c r="Q83" s="1">
        <v>6</v>
      </c>
      <c r="R83" s="4">
        <f>Table1_1[[#This Row],[Rate]]*Table1_1[[#This Row],[Quantity]]</f>
        <v>26400</v>
      </c>
    </row>
    <row r="84" spans="1:18" x14ac:dyDescent="0.3">
      <c r="A84" s="1" t="s">
        <v>161</v>
      </c>
      <c r="B84" s="2">
        <v>45959</v>
      </c>
      <c r="C84" s="1" t="s">
        <v>157</v>
      </c>
      <c r="D84" s="1" t="s">
        <v>158</v>
      </c>
      <c r="E84" s="1" t="s">
        <v>159</v>
      </c>
      <c r="F84" s="1" t="s">
        <v>160</v>
      </c>
      <c r="G84" s="1" t="s">
        <v>17</v>
      </c>
      <c r="H84" s="2">
        <v>45963</v>
      </c>
      <c r="I84" s="1" t="s">
        <v>18</v>
      </c>
      <c r="J84" s="1" t="s">
        <v>238</v>
      </c>
      <c r="K84" s="1" t="s">
        <v>230</v>
      </c>
      <c r="L84" s="3" t="s">
        <v>212</v>
      </c>
      <c r="M84" s="3" t="s">
        <v>245</v>
      </c>
      <c r="N84" s="3" t="s">
        <v>247</v>
      </c>
      <c r="O84" s="1">
        <v>594</v>
      </c>
      <c r="P84" s="1">
        <v>4400</v>
      </c>
      <c r="Q84" s="1">
        <v>6</v>
      </c>
      <c r="R84" s="4">
        <f>Table1_1[[#This Row],[Rate]]*Table1_1[[#This Row],[Quantity]]</f>
        <v>26400</v>
      </c>
    </row>
    <row r="85" spans="1:18" x14ac:dyDescent="0.3">
      <c r="A85" s="1" t="s">
        <v>162</v>
      </c>
      <c r="B85" s="2">
        <v>45962</v>
      </c>
      <c r="C85" s="1" t="s">
        <v>163</v>
      </c>
      <c r="D85" s="1" t="s">
        <v>164</v>
      </c>
      <c r="E85" s="1" t="s">
        <v>165</v>
      </c>
      <c r="F85" s="1" t="s">
        <v>166</v>
      </c>
      <c r="G85" s="1" t="s">
        <v>17</v>
      </c>
      <c r="H85" s="2">
        <v>45963</v>
      </c>
      <c r="I85" s="1" t="s">
        <v>18</v>
      </c>
      <c r="J85" s="1" t="s">
        <v>231</v>
      </c>
      <c r="K85" s="1" t="s">
        <v>229</v>
      </c>
      <c r="L85" s="3" t="s">
        <v>225</v>
      </c>
      <c r="M85" s="3" t="s">
        <v>243</v>
      </c>
      <c r="N85" s="3" t="s">
        <v>247</v>
      </c>
      <c r="O85" s="1">
        <v>85</v>
      </c>
      <c r="P85" s="1">
        <v>3279</v>
      </c>
      <c r="Q85" s="1">
        <v>4</v>
      </c>
      <c r="R85" s="4">
        <f>Table1_1[[#This Row],[Rate]]*Table1_1[[#This Row],[Quantity]]</f>
        <v>13116</v>
      </c>
    </row>
    <row r="86" spans="1:18" x14ac:dyDescent="0.3">
      <c r="A86" s="1" t="s">
        <v>162</v>
      </c>
      <c r="B86" s="2">
        <v>45962</v>
      </c>
      <c r="C86" s="1" t="s">
        <v>163</v>
      </c>
      <c r="D86" s="1" t="s">
        <v>164</v>
      </c>
      <c r="E86" s="1" t="s">
        <v>165</v>
      </c>
      <c r="F86" s="1" t="s">
        <v>166</v>
      </c>
      <c r="G86" s="1" t="s">
        <v>17</v>
      </c>
      <c r="H86" s="2">
        <v>45963</v>
      </c>
      <c r="I86" s="1" t="s">
        <v>18</v>
      </c>
      <c r="J86" s="1" t="s">
        <v>231</v>
      </c>
      <c r="K86" s="1" t="s">
        <v>229</v>
      </c>
      <c r="L86" s="3" t="s">
        <v>210</v>
      </c>
      <c r="M86" s="3" t="s">
        <v>243</v>
      </c>
      <c r="N86" s="3" t="s">
        <v>247</v>
      </c>
      <c r="O86" s="1">
        <v>85</v>
      </c>
      <c r="P86" s="1">
        <v>3279</v>
      </c>
      <c r="Q86" s="1">
        <v>5</v>
      </c>
      <c r="R86" s="4">
        <f>Table1_1[[#This Row],[Rate]]*Table1_1[[#This Row],[Quantity]]</f>
        <v>16395</v>
      </c>
    </row>
    <row r="87" spans="1:18" x14ac:dyDescent="0.3">
      <c r="A87" s="1" t="s">
        <v>162</v>
      </c>
      <c r="B87" s="2">
        <v>45962</v>
      </c>
      <c r="C87" s="1" t="s">
        <v>163</v>
      </c>
      <c r="D87" s="1" t="s">
        <v>164</v>
      </c>
      <c r="E87" s="1" t="s">
        <v>165</v>
      </c>
      <c r="F87" s="1" t="s">
        <v>166</v>
      </c>
      <c r="G87" s="1" t="s">
        <v>17</v>
      </c>
      <c r="H87" s="2">
        <v>45963</v>
      </c>
      <c r="I87" s="1" t="s">
        <v>18</v>
      </c>
      <c r="J87" s="1" t="s">
        <v>231</v>
      </c>
      <c r="K87" s="1" t="s">
        <v>229</v>
      </c>
      <c r="L87" s="3" t="s">
        <v>219</v>
      </c>
      <c r="M87" s="3" t="s">
        <v>243</v>
      </c>
      <c r="N87" s="3" t="s">
        <v>247</v>
      </c>
      <c r="O87" s="1">
        <v>85</v>
      </c>
      <c r="P87" s="1">
        <v>3279</v>
      </c>
      <c r="Q87" s="1">
        <v>3</v>
      </c>
      <c r="R87" s="4">
        <f>Table1_1[[#This Row],[Rate]]*Table1_1[[#This Row],[Quantity]]</f>
        <v>9837</v>
      </c>
    </row>
    <row r="88" spans="1:18" x14ac:dyDescent="0.3">
      <c r="A88" s="1" t="s">
        <v>162</v>
      </c>
      <c r="B88" s="2">
        <v>45962</v>
      </c>
      <c r="C88" s="1" t="s">
        <v>163</v>
      </c>
      <c r="D88" s="1" t="s">
        <v>164</v>
      </c>
      <c r="E88" s="1" t="s">
        <v>165</v>
      </c>
      <c r="F88" s="1" t="s">
        <v>166</v>
      </c>
      <c r="G88" s="1" t="s">
        <v>17</v>
      </c>
      <c r="H88" s="2">
        <v>45963</v>
      </c>
      <c r="I88" s="1" t="s">
        <v>18</v>
      </c>
      <c r="J88" s="1" t="s">
        <v>231</v>
      </c>
      <c r="K88" s="1" t="s">
        <v>229</v>
      </c>
      <c r="L88" s="3" t="s">
        <v>211</v>
      </c>
      <c r="M88" s="3" t="s">
        <v>244</v>
      </c>
      <c r="N88" s="3" t="s">
        <v>247</v>
      </c>
      <c r="O88" s="1">
        <v>85</v>
      </c>
      <c r="P88" s="1">
        <v>3279</v>
      </c>
      <c r="Q88" s="1">
        <v>3</v>
      </c>
      <c r="R88" s="4">
        <f>Table1_1[[#This Row],[Rate]]*Table1_1[[#This Row],[Quantity]]</f>
        <v>9837</v>
      </c>
    </row>
    <row r="89" spans="1:18" x14ac:dyDescent="0.3">
      <c r="A89" s="1" t="s">
        <v>162</v>
      </c>
      <c r="B89" s="2">
        <v>45962</v>
      </c>
      <c r="C89" s="1" t="s">
        <v>163</v>
      </c>
      <c r="D89" s="1" t="s">
        <v>164</v>
      </c>
      <c r="E89" s="1" t="s">
        <v>165</v>
      </c>
      <c r="F89" s="1" t="s">
        <v>166</v>
      </c>
      <c r="G89" s="1" t="s">
        <v>17</v>
      </c>
      <c r="H89" s="2">
        <v>45963</v>
      </c>
      <c r="I89" s="1" t="s">
        <v>18</v>
      </c>
      <c r="J89" s="1" t="s">
        <v>231</v>
      </c>
      <c r="K89" s="1" t="s">
        <v>229</v>
      </c>
      <c r="L89" s="3" t="s">
        <v>217</v>
      </c>
      <c r="M89" s="3" t="s">
        <v>244</v>
      </c>
      <c r="N89" s="3" t="s">
        <v>247</v>
      </c>
      <c r="O89" s="1">
        <v>85</v>
      </c>
      <c r="P89" s="1">
        <v>3279</v>
      </c>
      <c r="Q89" s="1">
        <v>3</v>
      </c>
      <c r="R89" s="4">
        <f>Table1_1[[#This Row],[Rate]]*Table1_1[[#This Row],[Quantity]]</f>
        <v>9837</v>
      </c>
    </row>
    <row r="90" spans="1:18" x14ac:dyDescent="0.3">
      <c r="A90" s="1" t="s">
        <v>162</v>
      </c>
      <c r="B90" s="2">
        <v>45962</v>
      </c>
      <c r="C90" s="1" t="s">
        <v>163</v>
      </c>
      <c r="D90" s="1" t="s">
        <v>164</v>
      </c>
      <c r="E90" s="1" t="s">
        <v>165</v>
      </c>
      <c r="F90" s="1" t="s">
        <v>166</v>
      </c>
      <c r="G90" s="1" t="s">
        <v>17</v>
      </c>
      <c r="H90" s="2">
        <v>45963</v>
      </c>
      <c r="I90" s="1" t="s">
        <v>18</v>
      </c>
      <c r="J90" s="1" t="s">
        <v>231</v>
      </c>
      <c r="K90" s="1" t="s">
        <v>229</v>
      </c>
      <c r="L90" s="3" t="s">
        <v>213</v>
      </c>
      <c r="M90" s="3" t="s">
        <v>245</v>
      </c>
      <c r="N90" s="3" t="s">
        <v>247</v>
      </c>
      <c r="O90" s="1">
        <v>85</v>
      </c>
      <c r="P90" s="1">
        <v>3279</v>
      </c>
      <c r="Q90" s="1">
        <v>3</v>
      </c>
      <c r="R90" s="4">
        <f>Table1_1[[#This Row],[Rate]]*Table1_1[[#This Row],[Quantity]]</f>
        <v>9837</v>
      </c>
    </row>
    <row r="91" spans="1:18" x14ac:dyDescent="0.3">
      <c r="A91" s="1" t="s">
        <v>162</v>
      </c>
      <c r="B91" s="2">
        <v>45962</v>
      </c>
      <c r="C91" s="1" t="s">
        <v>163</v>
      </c>
      <c r="D91" s="1" t="s">
        <v>164</v>
      </c>
      <c r="E91" s="1" t="s">
        <v>165</v>
      </c>
      <c r="F91" s="1" t="s">
        <v>166</v>
      </c>
      <c r="G91" s="1" t="s">
        <v>17</v>
      </c>
      <c r="H91" s="2">
        <v>45963</v>
      </c>
      <c r="I91" s="1" t="s">
        <v>18</v>
      </c>
      <c r="J91" s="1" t="s">
        <v>231</v>
      </c>
      <c r="K91" s="1" t="s">
        <v>229</v>
      </c>
      <c r="L91" s="3" t="s">
        <v>212</v>
      </c>
      <c r="M91" s="3" t="s">
        <v>245</v>
      </c>
      <c r="N91" s="3" t="s">
        <v>247</v>
      </c>
      <c r="O91" s="1">
        <v>85</v>
      </c>
      <c r="P91" s="1">
        <v>3279</v>
      </c>
      <c r="Q91" s="1">
        <v>3</v>
      </c>
      <c r="R91" s="4">
        <f>Table1_1[[#This Row],[Rate]]*Table1_1[[#This Row],[Quantity]]</f>
        <v>9837</v>
      </c>
    </row>
    <row r="92" spans="1:18" x14ac:dyDescent="0.3">
      <c r="A92" s="1" t="s">
        <v>162</v>
      </c>
      <c r="B92" s="2">
        <v>45962</v>
      </c>
      <c r="C92" s="1" t="s">
        <v>163</v>
      </c>
      <c r="D92" s="1" t="s">
        <v>164</v>
      </c>
      <c r="E92" s="1" t="s">
        <v>165</v>
      </c>
      <c r="F92" s="1" t="s">
        <v>166</v>
      </c>
      <c r="G92" s="1" t="s">
        <v>17</v>
      </c>
      <c r="H92" s="2">
        <v>45963</v>
      </c>
      <c r="I92" s="1" t="s">
        <v>18</v>
      </c>
      <c r="J92" s="1" t="s">
        <v>231</v>
      </c>
      <c r="K92" s="1" t="s">
        <v>229</v>
      </c>
      <c r="L92" s="3" t="s">
        <v>221</v>
      </c>
      <c r="M92" s="3" t="s">
        <v>245</v>
      </c>
      <c r="N92" s="3" t="s">
        <v>247</v>
      </c>
      <c r="O92" s="1">
        <v>85</v>
      </c>
      <c r="P92" s="1">
        <v>3279</v>
      </c>
      <c r="Q92" s="1">
        <v>3</v>
      </c>
      <c r="R92" s="4">
        <f>Table1_1[[#This Row],[Rate]]*Table1_1[[#This Row],[Quantity]]</f>
        <v>9837</v>
      </c>
    </row>
    <row r="93" spans="1:18" x14ac:dyDescent="0.3">
      <c r="A93" s="1" t="s">
        <v>162</v>
      </c>
      <c r="B93" s="2">
        <v>45962</v>
      </c>
      <c r="C93" s="1" t="s">
        <v>163</v>
      </c>
      <c r="D93" s="1" t="s">
        <v>164</v>
      </c>
      <c r="E93" s="1" t="s">
        <v>165</v>
      </c>
      <c r="F93" s="1" t="s">
        <v>166</v>
      </c>
      <c r="G93" s="1" t="s">
        <v>17</v>
      </c>
      <c r="H93" s="2">
        <v>45963</v>
      </c>
      <c r="I93" s="1" t="s">
        <v>18</v>
      </c>
      <c r="J93" s="1" t="s">
        <v>231</v>
      </c>
      <c r="K93" s="1" t="s">
        <v>229</v>
      </c>
      <c r="L93" s="3" t="s">
        <v>220</v>
      </c>
      <c r="M93" s="3" t="s">
        <v>246</v>
      </c>
      <c r="N93" s="3" t="s">
        <v>248</v>
      </c>
      <c r="O93" s="1">
        <v>85</v>
      </c>
      <c r="P93" s="1">
        <v>15900</v>
      </c>
      <c r="Q93" s="1">
        <v>2</v>
      </c>
      <c r="R93" s="4">
        <f>Table1_1[[#This Row],[Rate]]*Table1_1[[#This Row],[Quantity]]</f>
        <v>31800</v>
      </c>
    </row>
    <row r="94" spans="1:18" x14ac:dyDescent="0.3">
      <c r="A94" s="1" t="s">
        <v>167</v>
      </c>
      <c r="B94" s="2">
        <v>45978</v>
      </c>
      <c r="C94" s="1" t="s">
        <v>13</v>
      </c>
      <c r="D94" s="1" t="s">
        <v>14</v>
      </c>
      <c r="E94" s="1" t="s">
        <v>98</v>
      </c>
      <c r="F94" s="1" t="s">
        <v>57</v>
      </c>
      <c r="G94" s="1" t="s">
        <v>25</v>
      </c>
      <c r="H94" s="2">
        <v>45980</v>
      </c>
      <c r="I94" s="1" t="s">
        <v>48</v>
      </c>
      <c r="J94" s="1" t="s">
        <v>237</v>
      </c>
      <c r="K94" s="1" t="s">
        <v>229</v>
      </c>
      <c r="L94" s="3" t="s">
        <v>211</v>
      </c>
      <c r="M94" s="3" t="s">
        <v>244</v>
      </c>
      <c r="N94" s="3" t="s">
        <v>247</v>
      </c>
      <c r="O94" s="1">
        <v>306</v>
      </c>
      <c r="P94" s="1">
        <v>2700</v>
      </c>
      <c r="Q94" s="1">
        <v>35</v>
      </c>
      <c r="R94" s="4">
        <f>Table1_1[[#This Row],[Rate]]*Table1_1[[#This Row],[Quantity]]</f>
        <v>94500</v>
      </c>
    </row>
    <row r="95" spans="1:18" x14ac:dyDescent="0.3">
      <c r="A95" s="1" t="s">
        <v>168</v>
      </c>
      <c r="B95" s="2">
        <v>45980</v>
      </c>
      <c r="C95" s="1" t="s">
        <v>13</v>
      </c>
      <c r="D95" s="1" t="s">
        <v>14</v>
      </c>
      <c r="E95" s="1" t="s">
        <v>169</v>
      </c>
      <c r="F95" s="1" t="s">
        <v>170</v>
      </c>
      <c r="G95" s="1" t="s">
        <v>25</v>
      </c>
      <c r="H95" s="2">
        <v>45984</v>
      </c>
      <c r="I95" s="1" t="s">
        <v>18</v>
      </c>
      <c r="J95" s="1" t="s">
        <v>237</v>
      </c>
      <c r="K95" s="1" t="s">
        <v>229</v>
      </c>
      <c r="L95" s="3" t="s">
        <v>217</v>
      </c>
      <c r="M95" s="3" t="s">
        <v>244</v>
      </c>
      <c r="N95" s="3" t="s">
        <v>247</v>
      </c>
      <c r="O95" s="1">
        <v>522</v>
      </c>
      <c r="P95" s="1">
        <v>3450</v>
      </c>
      <c r="Q95" s="1">
        <v>10</v>
      </c>
      <c r="R95" s="4">
        <f>Table1_1[[#This Row],[Rate]]*Table1_1[[#This Row],[Quantity]]</f>
        <v>34500</v>
      </c>
    </row>
    <row r="96" spans="1:18" x14ac:dyDescent="0.3">
      <c r="A96" s="1" t="s">
        <v>168</v>
      </c>
      <c r="B96" s="2">
        <v>45980</v>
      </c>
      <c r="C96" s="1" t="s">
        <v>13</v>
      </c>
      <c r="D96" s="1" t="s">
        <v>14</v>
      </c>
      <c r="E96" s="1" t="s">
        <v>169</v>
      </c>
      <c r="F96" s="1" t="s">
        <v>170</v>
      </c>
      <c r="G96" s="1" t="s">
        <v>25</v>
      </c>
      <c r="H96" s="2">
        <v>45984</v>
      </c>
      <c r="I96" s="1" t="s">
        <v>18</v>
      </c>
      <c r="J96" s="1" t="s">
        <v>237</v>
      </c>
      <c r="K96" s="1" t="s">
        <v>229</v>
      </c>
      <c r="L96" s="3" t="s">
        <v>212</v>
      </c>
      <c r="M96" s="3" t="s">
        <v>245</v>
      </c>
      <c r="N96" s="3" t="s">
        <v>247</v>
      </c>
      <c r="O96" s="1">
        <v>522</v>
      </c>
      <c r="P96" s="1">
        <v>3450</v>
      </c>
      <c r="Q96" s="1">
        <v>10</v>
      </c>
      <c r="R96" s="4">
        <f>Table1_1[[#This Row],[Rate]]*Table1_1[[#This Row],[Quantity]]</f>
        <v>34500</v>
      </c>
    </row>
    <row r="97" spans="1:18" x14ac:dyDescent="0.3">
      <c r="A97" s="1" t="s">
        <v>168</v>
      </c>
      <c r="B97" s="2">
        <v>45980</v>
      </c>
      <c r="C97" s="1" t="s">
        <v>13</v>
      </c>
      <c r="D97" s="1" t="s">
        <v>14</v>
      </c>
      <c r="E97" s="1" t="s">
        <v>169</v>
      </c>
      <c r="F97" s="1" t="s">
        <v>170</v>
      </c>
      <c r="G97" s="1" t="s">
        <v>25</v>
      </c>
      <c r="H97" s="2">
        <v>45984</v>
      </c>
      <c r="I97" s="1" t="s">
        <v>18</v>
      </c>
      <c r="J97" s="1" t="s">
        <v>237</v>
      </c>
      <c r="K97" s="1" t="s">
        <v>229</v>
      </c>
      <c r="L97" s="3" t="s">
        <v>222</v>
      </c>
      <c r="M97" s="3" t="s">
        <v>246</v>
      </c>
      <c r="N97" s="3" t="s">
        <v>248</v>
      </c>
      <c r="O97" s="1">
        <v>522</v>
      </c>
      <c r="P97" s="1">
        <v>17200</v>
      </c>
      <c r="Q97" s="1">
        <v>10</v>
      </c>
      <c r="R97" s="4">
        <f>Table1_1[[#This Row],[Rate]]*Table1_1[[#This Row],[Quantity]]</f>
        <v>172000</v>
      </c>
    </row>
    <row r="98" spans="1:18" x14ac:dyDescent="0.3">
      <c r="A98" s="1" t="s">
        <v>171</v>
      </c>
      <c r="B98" s="2">
        <v>45986</v>
      </c>
      <c r="C98" s="1" t="s">
        <v>13</v>
      </c>
      <c r="D98" s="1" t="s">
        <v>14</v>
      </c>
      <c r="E98" s="1" t="s">
        <v>98</v>
      </c>
      <c r="F98" s="1" t="s">
        <v>57</v>
      </c>
      <c r="G98" s="1" t="s">
        <v>25</v>
      </c>
      <c r="H98" s="2">
        <v>45988</v>
      </c>
      <c r="I98" s="1" t="s">
        <v>48</v>
      </c>
      <c r="J98" s="1" t="s">
        <v>237</v>
      </c>
      <c r="K98" s="1" t="s">
        <v>229</v>
      </c>
      <c r="L98" s="3" t="s">
        <v>211</v>
      </c>
      <c r="M98" s="3" t="s">
        <v>244</v>
      </c>
      <c r="N98" s="3" t="s">
        <v>247</v>
      </c>
      <c r="O98" s="1">
        <v>306</v>
      </c>
      <c r="P98" s="1">
        <v>2700</v>
      </c>
      <c r="Q98" s="1">
        <v>35</v>
      </c>
      <c r="R98" s="4">
        <f>Table1_1[[#This Row],[Rate]]*Table1_1[[#This Row],[Quantity]]</f>
        <v>94500</v>
      </c>
    </row>
    <row r="99" spans="1:18" x14ac:dyDescent="0.3">
      <c r="A99" s="1" t="s">
        <v>172</v>
      </c>
      <c r="B99" s="2">
        <v>45988</v>
      </c>
      <c r="C99" s="1" t="s">
        <v>110</v>
      </c>
      <c r="D99" s="1" t="s">
        <v>111</v>
      </c>
      <c r="E99" s="1" t="s">
        <v>112</v>
      </c>
      <c r="F99" s="1" t="s">
        <v>113</v>
      </c>
      <c r="G99" s="1" t="s">
        <v>17</v>
      </c>
      <c r="H99" s="2">
        <v>45992</v>
      </c>
      <c r="I99" s="1" t="s">
        <v>18</v>
      </c>
      <c r="J99" s="1" t="s">
        <v>238</v>
      </c>
      <c r="K99" s="1" t="s">
        <v>114</v>
      </c>
      <c r="L99" s="3" t="s">
        <v>224</v>
      </c>
      <c r="M99" s="3" t="s">
        <v>243</v>
      </c>
      <c r="N99" s="3" t="s">
        <v>247</v>
      </c>
      <c r="O99" s="1">
        <v>475</v>
      </c>
      <c r="P99" s="1">
        <v>4000</v>
      </c>
      <c r="Q99" s="1">
        <v>15</v>
      </c>
      <c r="R99" s="4">
        <f>Table1_1[[#This Row],[Rate]]*Table1_1[[#This Row],[Quantity]]</f>
        <v>60000</v>
      </c>
    </row>
    <row r="100" spans="1:18" x14ac:dyDescent="0.3">
      <c r="A100" s="1" t="s">
        <v>172</v>
      </c>
      <c r="B100" s="2">
        <v>45988</v>
      </c>
      <c r="C100" s="1" t="s">
        <v>110</v>
      </c>
      <c r="D100" s="1" t="s">
        <v>111</v>
      </c>
      <c r="E100" s="1" t="s">
        <v>112</v>
      </c>
      <c r="F100" s="1" t="s">
        <v>113</v>
      </c>
      <c r="G100" s="1" t="s">
        <v>17</v>
      </c>
      <c r="H100" s="2">
        <v>45992</v>
      </c>
      <c r="I100" s="1" t="s">
        <v>18</v>
      </c>
      <c r="J100" s="1" t="s">
        <v>238</v>
      </c>
      <c r="K100" s="1" t="s">
        <v>114</v>
      </c>
      <c r="L100" s="3" t="s">
        <v>219</v>
      </c>
      <c r="M100" s="3" t="s">
        <v>243</v>
      </c>
      <c r="N100" s="3" t="s">
        <v>247</v>
      </c>
      <c r="O100" s="1">
        <v>475</v>
      </c>
      <c r="P100" s="1">
        <v>4000</v>
      </c>
      <c r="Q100" s="1">
        <v>15</v>
      </c>
      <c r="R100" s="4">
        <f>Table1_1[[#This Row],[Rate]]*Table1_1[[#This Row],[Quantity]]</f>
        <v>60000</v>
      </c>
    </row>
    <row r="101" spans="1:18" x14ac:dyDescent="0.3">
      <c r="A101" s="1" t="s">
        <v>173</v>
      </c>
      <c r="B101" s="2">
        <v>46008</v>
      </c>
      <c r="C101" s="1" t="s">
        <v>141</v>
      </c>
      <c r="D101" s="1" t="s">
        <v>142</v>
      </c>
      <c r="E101" s="1" t="s">
        <v>143</v>
      </c>
      <c r="F101" s="1" t="s">
        <v>144</v>
      </c>
      <c r="G101" s="1" t="s">
        <v>41</v>
      </c>
      <c r="H101" s="2">
        <v>46010</v>
      </c>
      <c r="I101" s="1" t="s">
        <v>48</v>
      </c>
      <c r="J101" s="1" t="s">
        <v>238</v>
      </c>
      <c r="K101" s="1" t="s">
        <v>230</v>
      </c>
      <c r="L101" s="3" t="s">
        <v>211</v>
      </c>
      <c r="M101" s="3" t="s">
        <v>244</v>
      </c>
      <c r="N101" s="3" t="s">
        <v>247</v>
      </c>
      <c r="O101" s="1">
        <v>289</v>
      </c>
      <c r="P101" s="1">
        <v>3200</v>
      </c>
      <c r="Q101" s="1">
        <v>35</v>
      </c>
      <c r="R101" s="4">
        <f>Table1_1[[#This Row],[Rate]]*Table1_1[[#This Row],[Quantity]]</f>
        <v>112000</v>
      </c>
    </row>
    <row r="102" spans="1:18" x14ac:dyDescent="0.3">
      <c r="A102" s="1" t="s">
        <v>174</v>
      </c>
      <c r="B102" s="2">
        <v>46014</v>
      </c>
      <c r="C102" s="1" t="s">
        <v>13</v>
      </c>
      <c r="D102" s="1" t="s">
        <v>14</v>
      </c>
      <c r="E102" s="1" t="s">
        <v>98</v>
      </c>
      <c r="F102" s="1" t="s">
        <v>57</v>
      </c>
      <c r="G102" s="1" t="s">
        <v>25</v>
      </c>
      <c r="H102" s="2">
        <v>46016</v>
      </c>
      <c r="I102" s="1" t="s">
        <v>48</v>
      </c>
      <c r="J102" s="1" t="s">
        <v>237</v>
      </c>
      <c r="K102" s="1" t="s">
        <v>229</v>
      </c>
      <c r="L102" s="3" t="s">
        <v>220</v>
      </c>
      <c r="M102" s="3" t="s">
        <v>246</v>
      </c>
      <c r="N102" s="3" t="s">
        <v>248</v>
      </c>
      <c r="O102" s="1">
        <v>306</v>
      </c>
      <c r="P102" s="1">
        <v>16200</v>
      </c>
      <c r="Q102" s="1">
        <v>10</v>
      </c>
      <c r="R102" s="4">
        <f>Table1_1[[#This Row],[Rate]]*Table1_1[[#This Row],[Quantity]]</f>
        <v>162000</v>
      </c>
    </row>
    <row r="103" spans="1:18" x14ac:dyDescent="0.3">
      <c r="A103" s="1" t="s">
        <v>174</v>
      </c>
      <c r="B103" s="2">
        <v>46014</v>
      </c>
      <c r="C103" s="1" t="s">
        <v>13</v>
      </c>
      <c r="D103" s="1" t="s">
        <v>14</v>
      </c>
      <c r="E103" s="1" t="s">
        <v>98</v>
      </c>
      <c r="F103" s="1" t="s">
        <v>57</v>
      </c>
      <c r="G103" s="1" t="s">
        <v>25</v>
      </c>
      <c r="H103" s="2">
        <v>46016</v>
      </c>
      <c r="I103" s="1" t="s">
        <v>48</v>
      </c>
      <c r="J103" s="1" t="s">
        <v>237</v>
      </c>
      <c r="K103" s="1" t="s">
        <v>229</v>
      </c>
      <c r="L103" s="3" t="s">
        <v>211</v>
      </c>
      <c r="M103" s="3" t="s">
        <v>244</v>
      </c>
      <c r="N103" s="3" t="s">
        <v>247</v>
      </c>
      <c r="O103" s="1">
        <v>306</v>
      </c>
      <c r="P103" s="1">
        <v>2700</v>
      </c>
      <c r="Q103" s="1">
        <v>25</v>
      </c>
      <c r="R103" s="4">
        <f>Table1_1[[#This Row],[Rate]]*Table1_1[[#This Row],[Quantity]]</f>
        <v>67500</v>
      </c>
    </row>
    <row r="104" spans="1:18" x14ac:dyDescent="0.3">
      <c r="A104" s="1" t="s">
        <v>175</v>
      </c>
      <c r="B104" s="2">
        <v>46027</v>
      </c>
      <c r="C104" s="1" t="s">
        <v>176</v>
      </c>
      <c r="D104" s="1" t="s">
        <v>177</v>
      </c>
      <c r="E104" s="1" t="s">
        <v>178</v>
      </c>
      <c r="F104" s="1" t="s">
        <v>179</v>
      </c>
      <c r="G104" s="1" t="s">
        <v>17</v>
      </c>
      <c r="H104" s="2">
        <v>46029</v>
      </c>
      <c r="I104" s="1" t="s">
        <v>18</v>
      </c>
      <c r="J104" s="1" t="s">
        <v>238</v>
      </c>
      <c r="K104" s="1" t="s">
        <v>180</v>
      </c>
      <c r="L104" s="3" t="s">
        <v>211</v>
      </c>
      <c r="M104" s="3" t="s">
        <v>244</v>
      </c>
      <c r="N104" s="3" t="s">
        <v>247</v>
      </c>
      <c r="O104" s="1">
        <v>242</v>
      </c>
      <c r="P104" s="1">
        <v>3100</v>
      </c>
      <c r="Q104" s="1">
        <v>10</v>
      </c>
      <c r="R104" s="4">
        <f>Table1_1[[#This Row],[Rate]]*Table1_1[[#This Row],[Quantity]]</f>
        <v>31000</v>
      </c>
    </row>
    <row r="105" spans="1:18" x14ac:dyDescent="0.3">
      <c r="A105" s="1" t="s">
        <v>175</v>
      </c>
      <c r="B105" s="2">
        <v>46027</v>
      </c>
      <c r="C105" s="1" t="s">
        <v>176</v>
      </c>
      <c r="D105" s="1" t="s">
        <v>177</v>
      </c>
      <c r="E105" s="1" t="s">
        <v>178</v>
      </c>
      <c r="F105" s="1" t="s">
        <v>179</v>
      </c>
      <c r="G105" s="1" t="s">
        <v>17</v>
      </c>
      <c r="H105" s="2">
        <v>46029</v>
      </c>
      <c r="I105" s="1" t="s">
        <v>18</v>
      </c>
      <c r="J105" s="1" t="s">
        <v>238</v>
      </c>
      <c r="K105" s="1" t="s">
        <v>180</v>
      </c>
      <c r="L105" s="3" t="s">
        <v>220</v>
      </c>
      <c r="M105" s="3" t="s">
        <v>246</v>
      </c>
      <c r="N105" s="3" t="s">
        <v>248</v>
      </c>
      <c r="O105" s="1">
        <v>242</v>
      </c>
      <c r="P105" s="1">
        <v>16200</v>
      </c>
      <c r="Q105" s="1">
        <v>2</v>
      </c>
      <c r="R105" s="4">
        <f>Table1_1[[#This Row],[Rate]]*Table1_1[[#This Row],[Quantity]]</f>
        <v>32400</v>
      </c>
    </row>
    <row r="106" spans="1:18" x14ac:dyDescent="0.3">
      <c r="A106" s="1" t="s">
        <v>181</v>
      </c>
      <c r="B106" s="2">
        <v>45666</v>
      </c>
      <c r="C106" s="1" t="s">
        <v>13</v>
      </c>
      <c r="D106" s="1" t="s">
        <v>14</v>
      </c>
      <c r="E106" s="1" t="s">
        <v>98</v>
      </c>
      <c r="F106" s="1" t="s">
        <v>57</v>
      </c>
      <c r="G106" s="1" t="s">
        <v>25</v>
      </c>
      <c r="H106" s="2">
        <v>46033</v>
      </c>
      <c r="I106" s="1" t="s">
        <v>48</v>
      </c>
      <c r="J106" s="1" t="s">
        <v>237</v>
      </c>
      <c r="K106" s="1" t="s">
        <v>229</v>
      </c>
      <c r="L106" s="3" t="s">
        <v>223</v>
      </c>
      <c r="M106" s="3" t="s">
        <v>246</v>
      </c>
      <c r="N106" s="3" t="s">
        <v>248</v>
      </c>
      <c r="O106" s="1">
        <v>306</v>
      </c>
      <c r="P106" s="1">
        <v>9000</v>
      </c>
      <c r="Q106" s="1">
        <v>10</v>
      </c>
      <c r="R106" s="4">
        <f>Table1_1[[#This Row],[Rate]]*Table1_1[[#This Row],[Quantity]]</f>
        <v>90000</v>
      </c>
    </row>
    <row r="107" spans="1:18" x14ac:dyDescent="0.3">
      <c r="A107" s="1" t="s">
        <v>181</v>
      </c>
      <c r="B107" s="2">
        <v>45666</v>
      </c>
      <c r="C107" s="1" t="s">
        <v>13</v>
      </c>
      <c r="D107" s="1" t="s">
        <v>14</v>
      </c>
      <c r="E107" s="1" t="s">
        <v>98</v>
      </c>
      <c r="F107" s="1" t="s">
        <v>57</v>
      </c>
      <c r="G107" s="1" t="s">
        <v>25</v>
      </c>
      <c r="H107" s="2">
        <v>46033</v>
      </c>
      <c r="I107" s="1" t="s">
        <v>48</v>
      </c>
      <c r="J107" s="1" t="s">
        <v>237</v>
      </c>
      <c r="K107" s="1" t="s">
        <v>229</v>
      </c>
      <c r="L107" s="3" t="s">
        <v>211</v>
      </c>
      <c r="M107" s="3" t="s">
        <v>244</v>
      </c>
      <c r="N107" s="3" t="s">
        <v>247</v>
      </c>
      <c r="O107" s="1">
        <v>306</v>
      </c>
      <c r="P107" s="1">
        <v>2700</v>
      </c>
      <c r="Q107" s="1">
        <v>20</v>
      </c>
      <c r="R107" s="4">
        <f>Table1_1[[#This Row],[Rate]]*Table1_1[[#This Row],[Quantity]]</f>
        <v>54000</v>
      </c>
    </row>
    <row r="108" spans="1:18" x14ac:dyDescent="0.3">
      <c r="A108" s="1" t="s">
        <v>182</v>
      </c>
      <c r="B108" s="2">
        <v>46040</v>
      </c>
      <c r="C108" s="1" t="s">
        <v>183</v>
      </c>
      <c r="D108" s="1" t="s">
        <v>184</v>
      </c>
      <c r="E108" s="1" t="s">
        <v>185</v>
      </c>
      <c r="F108" s="1" t="s">
        <v>186</v>
      </c>
      <c r="G108" s="1" t="s">
        <v>25</v>
      </c>
      <c r="H108" s="2">
        <v>46044</v>
      </c>
      <c r="I108" s="1" t="s">
        <v>18</v>
      </c>
      <c r="J108" s="1" t="s">
        <v>238</v>
      </c>
      <c r="K108" s="1" t="s">
        <v>229</v>
      </c>
      <c r="L108" s="3" t="s">
        <v>210</v>
      </c>
      <c r="M108" s="3" t="s">
        <v>243</v>
      </c>
      <c r="N108" s="3" t="s">
        <v>247</v>
      </c>
      <c r="O108" s="1">
        <v>471</v>
      </c>
      <c r="P108" s="1">
        <v>3600</v>
      </c>
      <c r="Q108" s="1">
        <v>10</v>
      </c>
      <c r="R108" s="4">
        <f>Table1_1[[#This Row],[Rate]]*Table1_1[[#This Row],[Quantity]]</f>
        <v>36000</v>
      </c>
    </row>
    <row r="109" spans="1:18" x14ac:dyDescent="0.3">
      <c r="A109" s="1" t="s">
        <v>182</v>
      </c>
      <c r="B109" s="2">
        <v>46040</v>
      </c>
      <c r="C109" s="1" t="s">
        <v>183</v>
      </c>
      <c r="D109" s="1" t="s">
        <v>184</v>
      </c>
      <c r="E109" s="1" t="s">
        <v>185</v>
      </c>
      <c r="F109" s="1" t="s">
        <v>186</v>
      </c>
      <c r="G109" s="1" t="s">
        <v>25</v>
      </c>
      <c r="H109" s="2">
        <v>46044</v>
      </c>
      <c r="I109" s="1" t="s">
        <v>18</v>
      </c>
      <c r="J109" s="1" t="s">
        <v>238</v>
      </c>
      <c r="K109" s="1" t="s">
        <v>229</v>
      </c>
      <c r="L109" s="3" t="s">
        <v>211</v>
      </c>
      <c r="M109" s="3" t="s">
        <v>244</v>
      </c>
      <c r="N109" s="3" t="s">
        <v>247</v>
      </c>
      <c r="O109" s="1">
        <v>471</v>
      </c>
      <c r="P109" s="1">
        <v>3600</v>
      </c>
      <c r="Q109" s="1">
        <v>10</v>
      </c>
      <c r="R109" s="4">
        <f>Table1_1[[#This Row],[Rate]]*Table1_1[[#This Row],[Quantity]]</f>
        <v>36000</v>
      </c>
    </row>
    <row r="110" spans="1:18" x14ac:dyDescent="0.3">
      <c r="A110" s="1" t="s">
        <v>182</v>
      </c>
      <c r="B110" s="2">
        <v>46040</v>
      </c>
      <c r="C110" s="1" t="s">
        <v>183</v>
      </c>
      <c r="D110" s="1" t="s">
        <v>184</v>
      </c>
      <c r="E110" s="1" t="s">
        <v>185</v>
      </c>
      <c r="F110" s="1" t="s">
        <v>186</v>
      </c>
      <c r="G110" s="1" t="s">
        <v>25</v>
      </c>
      <c r="H110" s="2">
        <v>46044</v>
      </c>
      <c r="I110" s="1" t="s">
        <v>18</v>
      </c>
      <c r="J110" s="1" t="s">
        <v>238</v>
      </c>
      <c r="K110" s="1" t="s">
        <v>229</v>
      </c>
      <c r="L110" s="3" t="s">
        <v>213</v>
      </c>
      <c r="M110" s="3" t="s">
        <v>245</v>
      </c>
      <c r="N110" s="3" t="s">
        <v>247</v>
      </c>
      <c r="O110" s="1">
        <v>471</v>
      </c>
      <c r="P110" s="1">
        <v>3600</v>
      </c>
      <c r="Q110" s="1">
        <v>10</v>
      </c>
      <c r="R110" s="4">
        <f>Table1_1[[#This Row],[Rate]]*Table1_1[[#This Row],[Quantity]]</f>
        <v>36000</v>
      </c>
    </row>
    <row r="111" spans="1:18" x14ac:dyDescent="0.3">
      <c r="A111" s="1" t="s">
        <v>182</v>
      </c>
      <c r="B111" s="2">
        <v>46040</v>
      </c>
      <c r="C111" s="1" t="s">
        <v>183</v>
      </c>
      <c r="D111" s="1" t="s">
        <v>184</v>
      </c>
      <c r="E111" s="1" t="s">
        <v>185</v>
      </c>
      <c r="F111" s="1" t="s">
        <v>186</v>
      </c>
      <c r="G111" s="1" t="s">
        <v>25</v>
      </c>
      <c r="H111" s="2">
        <v>46044</v>
      </c>
      <c r="I111" s="1" t="s">
        <v>18</v>
      </c>
      <c r="J111" s="1" t="s">
        <v>238</v>
      </c>
      <c r="K111" s="1" t="s">
        <v>229</v>
      </c>
      <c r="L111" s="3" t="s">
        <v>212</v>
      </c>
      <c r="M111" s="3" t="s">
        <v>245</v>
      </c>
      <c r="N111" s="3" t="s">
        <v>247</v>
      </c>
      <c r="O111" s="1">
        <v>471</v>
      </c>
      <c r="P111" s="1">
        <v>3600</v>
      </c>
      <c r="Q111" s="1">
        <v>10</v>
      </c>
      <c r="R111" s="4">
        <f>Table1_1[[#This Row],[Rate]]*Table1_1[[#This Row],[Quantity]]</f>
        <v>36000</v>
      </c>
    </row>
    <row r="112" spans="1:18" x14ac:dyDescent="0.3">
      <c r="A112" s="1" t="s">
        <v>187</v>
      </c>
      <c r="B112" s="2">
        <v>46042</v>
      </c>
      <c r="C112" s="1" t="s">
        <v>188</v>
      </c>
      <c r="D112" s="1" t="s">
        <v>189</v>
      </c>
      <c r="E112" s="1" t="s">
        <v>190</v>
      </c>
      <c r="F112" s="1" t="s">
        <v>179</v>
      </c>
      <c r="G112" s="1" t="s">
        <v>17</v>
      </c>
      <c r="H112" s="2">
        <v>46044</v>
      </c>
      <c r="I112" s="1" t="s">
        <v>18</v>
      </c>
      <c r="J112" s="1" t="s">
        <v>238</v>
      </c>
      <c r="K112" s="1" t="s">
        <v>230</v>
      </c>
      <c r="L112" s="3" t="s">
        <v>217</v>
      </c>
      <c r="M112" s="3" t="s">
        <v>244</v>
      </c>
      <c r="N112" s="3" t="s">
        <v>247</v>
      </c>
      <c r="O112" s="1">
        <v>255</v>
      </c>
      <c r="P112" s="1">
        <v>2100</v>
      </c>
      <c r="Q112" s="1">
        <v>10</v>
      </c>
      <c r="R112" s="4">
        <f>Table1_1[[#This Row],[Rate]]*Table1_1[[#This Row],[Quantity]]</f>
        <v>21000</v>
      </c>
    </row>
    <row r="113" spans="1:18" x14ac:dyDescent="0.3">
      <c r="A113" s="1" t="s">
        <v>187</v>
      </c>
      <c r="B113" s="2">
        <v>46042</v>
      </c>
      <c r="C113" s="1" t="s">
        <v>188</v>
      </c>
      <c r="D113" s="1" t="s">
        <v>189</v>
      </c>
      <c r="E113" s="1" t="s">
        <v>190</v>
      </c>
      <c r="F113" s="1" t="s">
        <v>179</v>
      </c>
      <c r="G113" s="1" t="s">
        <v>17</v>
      </c>
      <c r="H113" s="2">
        <v>46044</v>
      </c>
      <c r="I113" s="1" t="s">
        <v>18</v>
      </c>
      <c r="J113" s="1" t="s">
        <v>238</v>
      </c>
      <c r="K113" s="1" t="s">
        <v>230</v>
      </c>
      <c r="L113" s="3" t="s">
        <v>213</v>
      </c>
      <c r="M113" s="3" t="s">
        <v>245</v>
      </c>
      <c r="N113" s="3" t="s">
        <v>247</v>
      </c>
      <c r="O113" s="1">
        <v>255</v>
      </c>
      <c r="P113" s="1">
        <v>2100</v>
      </c>
      <c r="Q113" s="1">
        <v>10</v>
      </c>
      <c r="R113" s="4">
        <f>Table1_1[[#This Row],[Rate]]*Table1_1[[#This Row],[Quantity]]</f>
        <v>21000</v>
      </c>
    </row>
    <row r="114" spans="1:18" x14ac:dyDescent="0.3">
      <c r="A114" s="1" t="s">
        <v>187</v>
      </c>
      <c r="B114" s="2">
        <v>46042</v>
      </c>
      <c r="C114" s="1" t="s">
        <v>188</v>
      </c>
      <c r="D114" s="1" t="s">
        <v>189</v>
      </c>
      <c r="E114" s="1" t="s">
        <v>190</v>
      </c>
      <c r="F114" s="1" t="s">
        <v>179</v>
      </c>
      <c r="G114" s="1" t="s">
        <v>17</v>
      </c>
      <c r="H114" s="2">
        <v>46044</v>
      </c>
      <c r="I114" s="1" t="s">
        <v>18</v>
      </c>
      <c r="J114" s="1" t="s">
        <v>238</v>
      </c>
      <c r="K114" s="1" t="s">
        <v>230</v>
      </c>
      <c r="L114" s="3" t="s">
        <v>215</v>
      </c>
      <c r="M114" s="3" t="s">
        <v>245</v>
      </c>
      <c r="N114" s="3" t="s">
        <v>247</v>
      </c>
      <c r="O114" s="1">
        <v>255</v>
      </c>
      <c r="P114" s="1">
        <v>2400</v>
      </c>
      <c r="Q114" s="1">
        <v>10</v>
      </c>
      <c r="R114" s="4">
        <f>Table1_1[[#This Row],[Rate]]*Table1_1[[#This Row],[Quantity]]</f>
        <v>24000</v>
      </c>
    </row>
    <row r="115" spans="1:18" x14ac:dyDescent="0.3">
      <c r="A115" s="1" t="s">
        <v>226</v>
      </c>
      <c r="B115" s="2">
        <v>46047</v>
      </c>
      <c r="C115" s="1" t="s">
        <v>183</v>
      </c>
      <c r="D115" s="1" t="s">
        <v>184</v>
      </c>
      <c r="E115" s="1" t="s">
        <v>227</v>
      </c>
      <c r="F115" s="1" t="s">
        <v>227</v>
      </c>
      <c r="G115" s="1" t="s">
        <v>196</v>
      </c>
      <c r="H115" s="2">
        <v>45688</v>
      </c>
      <c r="I115" s="1" t="s">
        <v>18</v>
      </c>
      <c r="J115" s="1" t="s">
        <v>238</v>
      </c>
      <c r="K115" s="1" t="s">
        <v>229</v>
      </c>
      <c r="L115" s="3" t="s">
        <v>210</v>
      </c>
      <c r="M115" s="3" t="s">
        <v>243</v>
      </c>
      <c r="N115" s="3" t="s">
        <v>247</v>
      </c>
      <c r="O115" s="1">
        <v>903</v>
      </c>
      <c r="P115" s="1">
        <v>3600</v>
      </c>
      <c r="Q115" s="1">
        <v>10</v>
      </c>
      <c r="R115" s="4">
        <f>Table1_1[[#This Row],[Rate]]*Table1_1[[#This Row],[Quantity]]</f>
        <v>36000</v>
      </c>
    </row>
    <row r="116" spans="1:18" x14ac:dyDescent="0.3">
      <c r="A116" s="1" t="s">
        <v>226</v>
      </c>
      <c r="B116" s="2">
        <v>46047</v>
      </c>
      <c r="C116" s="1" t="s">
        <v>183</v>
      </c>
      <c r="D116" s="1" t="s">
        <v>184</v>
      </c>
      <c r="E116" s="1" t="s">
        <v>227</v>
      </c>
      <c r="F116" s="1" t="s">
        <v>227</v>
      </c>
      <c r="G116" s="1" t="s">
        <v>196</v>
      </c>
      <c r="H116" s="2">
        <v>45688</v>
      </c>
      <c r="I116" s="1" t="s">
        <v>18</v>
      </c>
      <c r="J116" s="1" t="s">
        <v>238</v>
      </c>
      <c r="K116" s="1" t="s">
        <v>229</v>
      </c>
      <c r="L116" s="3" t="s">
        <v>211</v>
      </c>
      <c r="M116" s="3" t="s">
        <v>244</v>
      </c>
      <c r="N116" s="3" t="s">
        <v>247</v>
      </c>
      <c r="O116" s="1">
        <v>903</v>
      </c>
      <c r="P116" s="1">
        <v>3600</v>
      </c>
      <c r="Q116" s="1">
        <v>10</v>
      </c>
      <c r="R116" s="4">
        <f>Table1_1[[#This Row],[Rate]]*Table1_1[[#This Row],[Quantity]]</f>
        <v>36000</v>
      </c>
    </row>
    <row r="117" spans="1:18" x14ac:dyDescent="0.3">
      <c r="A117" s="1" t="s">
        <v>226</v>
      </c>
      <c r="B117" s="2">
        <v>46047</v>
      </c>
      <c r="C117" s="1" t="s">
        <v>183</v>
      </c>
      <c r="D117" s="1" t="s">
        <v>184</v>
      </c>
      <c r="E117" s="1" t="s">
        <v>227</v>
      </c>
      <c r="F117" s="1" t="s">
        <v>227</v>
      </c>
      <c r="G117" s="1" t="s">
        <v>196</v>
      </c>
      <c r="H117" s="2">
        <v>45688</v>
      </c>
      <c r="I117" s="1" t="s">
        <v>18</v>
      </c>
      <c r="J117" s="1" t="s">
        <v>238</v>
      </c>
      <c r="K117" s="1" t="s">
        <v>229</v>
      </c>
      <c r="L117" s="3" t="s">
        <v>213</v>
      </c>
      <c r="M117" s="3" t="s">
        <v>245</v>
      </c>
      <c r="N117" s="3" t="s">
        <v>247</v>
      </c>
      <c r="O117" s="1">
        <v>903</v>
      </c>
      <c r="P117" s="1">
        <v>3600</v>
      </c>
      <c r="Q117" s="1">
        <v>10</v>
      </c>
      <c r="R117" s="4">
        <f>Table1_1[[#This Row],[Rate]]*Table1_1[[#This Row],[Quantity]]</f>
        <v>36000</v>
      </c>
    </row>
    <row r="118" spans="1:18" x14ac:dyDescent="0.3">
      <c r="A118" s="1" t="s">
        <v>226</v>
      </c>
      <c r="B118" s="2">
        <v>46047</v>
      </c>
      <c r="C118" s="1" t="s">
        <v>183</v>
      </c>
      <c r="D118" s="1" t="s">
        <v>184</v>
      </c>
      <c r="E118" s="1" t="s">
        <v>227</v>
      </c>
      <c r="F118" s="1" t="s">
        <v>227</v>
      </c>
      <c r="G118" s="1" t="s">
        <v>196</v>
      </c>
      <c r="H118" s="2">
        <v>45688</v>
      </c>
      <c r="I118" s="1" t="s">
        <v>18</v>
      </c>
      <c r="J118" s="1" t="s">
        <v>238</v>
      </c>
      <c r="K118" s="1" t="s">
        <v>229</v>
      </c>
      <c r="L118" s="3" t="s">
        <v>212</v>
      </c>
      <c r="M118" s="3" t="s">
        <v>245</v>
      </c>
      <c r="N118" s="3" t="s">
        <v>247</v>
      </c>
      <c r="O118" s="1">
        <v>903</v>
      </c>
      <c r="P118" s="1">
        <v>3600</v>
      </c>
      <c r="Q118" s="1">
        <v>12</v>
      </c>
      <c r="R118" s="4">
        <f>Table1_1[[#This Row],[Rate]]*Table1_1[[#This Row],[Quantity]]</f>
        <v>43200</v>
      </c>
    </row>
    <row r="119" spans="1:18" x14ac:dyDescent="0.3">
      <c r="A119" s="1" t="s">
        <v>191</v>
      </c>
      <c r="B119" s="2">
        <v>46049</v>
      </c>
      <c r="C119" s="1" t="s">
        <v>192</v>
      </c>
      <c r="D119" s="1" t="s">
        <v>193</v>
      </c>
      <c r="E119" s="1" t="s">
        <v>194</v>
      </c>
      <c r="F119" s="1" t="s">
        <v>195</v>
      </c>
      <c r="G119" s="1" t="s">
        <v>196</v>
      </c>
      <c r="H119" s="2">
        <v>45688</v>
      </c>
      <c r="I119" s="1" t="s">
        <v>18</v>
      </c>
      <c r="J119" s="1" t="s">
        <v>237</v>
      </c>
      <c r="K119" s="1" t="s">
        <v>229</v>
      </c>
      <c r="L119" s="3" t="s">
        <v>210</v>
      </c>
      <c r="M119" s="3" t="s">
        <v>243</v>
      </c>
      <c r="N119" s="3" t="s">
        <v>247</v>
      </c>
      <c r="O119" s="1">
        <v>500</v>
      </c>
      <c r="P119" s="1">
        <v>3710</v>
      </c>
      <c r="Q119" s="1">
        <v>10</v>
      </c>
      <c r="R119" s="4">
        <f>Table1_1[[#This Row],[Rate]]*Table1_1[[#This Row],[Quantity]]</f>
        <v>37100</v>
      </c>
    </row>
    <row r="120" spans="1:18" x14ac:dyDescent="0.3">
      <c r="A120" s="1" t="s">
        <v>191</v>
      </c>
      <c r="B120" s="2">
        <v>46049</v>
      </c>
      <c r="C120" s="1" t="s">
        <v>192</v>
      </c>
      <c r="D120" s="1" t="s">
        <v>193</v>
      </c>
      <c r="E120" s="1" t="s">
        <v>194</v>
      </c>
      <c r="F120" s="1" t="s">
        <v>195</v>
      </c>
      <c r="G120" s="1" t="s">
        <v>196</v>
      </c>
      <c r="H120" s="2">
        <v>45688</v>
      </c>
      <c r="I120" s="1" t="s">
        <v>18</v>
      </c>
      <c r="J120" s="1" t="s">
        <v>237</v>
      </c>
      <c r="K120" s="1" t="s">
        <v>229</v>
      </c>
      <c r="L120" s="3" t="s">
        <v>225</v>
      </c>
      <c r="M120" s="3" t="s">
        <v>243</v>
      </c>
      <c r="N120" s="3" t="s">
        <v>247</v>
      </c>
      <c r="O120" s="1">
        <v>500</v>
      </c>
      <c r="P120" s="1">
        <v>3710</v>
      </c>
      <c r="Q120" s="1">
        <v>10</v>
      </c>
      <c r="R120" s="4">
        <f>Table1_1[[#This Row],[Rate]]*Table1_1[[#This Row],[Quantity]]</f>
        <v>37100</v>
      </c>
    </row>
    <row r="121" spans="1:18" x14ac:dyDescent="0.3">
      <c r="A121" s="1" t="s">
        <v>191</v>
      </c>
      <c r="B121" s="2">
        <v>46049</v>
      </c>
      <c r="C121" s="1" t="s">
        <v>192</v>
      </c>
      <c r="D121" s="1" t="s">
        <v>193</v>
      </c>
      <c r="E121" s="1" t="s">
        <v>194</v>
      </c>
      <c r="F121" s="1" t="s">
        <v>195</v>
      </c>
      <c r="G121" s="1" t="s">
        <v>196</v>
      </c>
      <c r="H121" s="2">
        <v>45688</v>
      </c>
      <c r="I121" s="1" t="s">
        <v>18</v>
      </c>
      <c r="J121" s="1" t="s">
        <v>237</v>
      </c>
      <c r="K121" s="1" t="s">
        <v>229</v>
      </c>
      <c r="L121" s="3" t="s">
        <v>211</v>
      </c>
      <c r="M121" s="3" t="s">
        <v>244</v>
      </c>
      <c r="N121" s="3" t="s">
        <v>247</v>
      </c>
      <c r="O121" s="1">
        <v>500</v>
      </c>
      <c r="P121" s="1">
        <v>3710</v>
      </c>
      <c r="Q121" s="1">
        <v>8</v>
      </c>
      <c r="R121" s="4">
        <f>Table1_1[[#This Row],[Rate]]*Table1_1[[#This Row],[Quantity]]</f>
        <v>29680</v>
      </c>
    </row>
    <row r="122" spans="1:18" x14ac:dyDescent="0.3">
      <c r="A122" s="1" t="s">
        <v>191</v>
      </c>
      <c r="B122" s="2">
        <v>46049</v>
      </c>
      <c r="C122" s="1" t="s">
        <v>192</v>
      </c>
      <c r="D122" s="1" t="s">
        <v>193</v>
      </c>
      <c r="E122" s="1" t="s">
        <v>194</v>
      </c>
      <c r="F122" s="1" t="s">
        <v>195</v>
      </c>
      <c r="G122" s="1" t="s">
        <v>196</v>
      </c>
      <c r="H122" s="2">
        <v>45688</v>
      </c>
      <c r="I122" s="1" t="s">
        <v>18</v>
      </c>
      <c r="J122" s="1" t="s">
        <v>237</v>
      </c>
      <c r="K122" s="1" t="s">
        <v>229</v>
      </c>
      <c r="L122" s="3" t="s">
        <v>217</v>
      </c>
      <c r="M122" s="3" t="s">
        <v>244</v>
      </c>
      <c r="N122" s="3" t="s">
        <v>247</v>
      </c>
      <c r="O122" s="1">
        <v>500</v>
      </c>
      <c r="P122" s="1">
        <v>3710</v>
      </c>
      <c r="Q122" s="1">
        <v>8</v>
      </c>
      <c r="R122" s="4">
        <f>Table1_1[[#This Row],[Rate]]*Table1_1[[#This Row],[Quantity]]</f>
        <v>29680</v>
      </c>
    </row>
    <row r="123" spans="1:18" x14ac:dyDescent="0.3">
      <c r="A123" s="1" t="s">
        <v>191</v>
      </c>
      <c r="B123" s="2">
        <v>46049</v>
      </c>
      <c r="C123" s="1" t="s">
        <v>192</v>
      </c>
      <c r="D123" s="1" t="s">
        <v>193</v>
      </c>
      <c r="E123" s="1" t="s">
        <v>194</v>
      </c>
      <c r="F123" s="1" t="s">
        <v>195</v>
      </c>
      <c r="G123" s="1" t="s">
        <v>196</v>
      </c>
      <c r="H123" s="2">
        <v>45688</v>
      </c>
      <c r="I123" s="1" t="s">
        <v>18</v>
      </c>
      <c r="J123" s="1" t="s">
        <v>237</v>
      </c>
      <c r="K123" s="1" t="s">
        <v>229</v>
      </c>
      <c r="L123" s="3" t="s">
        <v>213</v>
      </c>
      <c r="M123" s="3" t="s">
        <v>245</v>
      </c>
      <c r="N123" s="3" t="s">
        <v>247</v>
      </c>
      <c r="O123" s="1">
        <v>500</v>
      </c>
      <c r="P123" s="1">
        <v>3710</v>
      </c>
      <c r="Q123" s="1">
        <v>6</v>
      </c>
      <c r="R123" s="4">
        <f>Table1_1[[#This Row],[Rate]]*Table1_1[[#This Row],[Quantity]]</f>
        <v>22260</v>
      </c>
    </row>
    <row r="124" spans="1:18" x14ac:dyDescent="0.3">
      <c r="A124" s="1" t="s">
        <v>191</v>
      </c>
      <c r="B124" s="2">
        <v>46049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2">
        <v>45688</v>
      </c>
      <c r="I124" s="1" t="s">
        <v>18</v>
      </c>
      <c r="J124" s="1" t="s">
        <v>237</v>
      </c>
      <c r="K124" s="1" t="s">
        <v>229</v>
      </c>
      <c r="L124" s="3" t="s">
        <v>212</v>
      </c>
      <c r="M124" s="3" t="s">
        <v>245</v>
      </c>
      <c r="N124" s="3" t="s">
        <v>247</v>
      </c>
      <c r="O124" s="1">
        <v>500</v>
      </c>
      <c r="P124" s="1">
        <v>3710</v>
      </c>
      <c r="Q124" s="1">
        <v>42</v>
      </c>
      <c r="R124" s="4">
        <f>Table1_1[[#This Row],[Rate]]*Table1_1[[#This Row],[Quantity]]</f>
        <v>155820</v>
      </c>
    </row>
    <row r="125" spans="1:18" x14ac:dyDescent="0.3">
      <c r="A125" s="1" t="s">
        <v>197</v>
      </c>
      <c r="B125" s="2">
        <v>46058</v>
      </c>
      <c r="C125" s="1" t="s">
        <v>192</v>
      </c>
      <c r="D125" s="1" t="s">
        <v>193</v>
      </c>
      <c r="E125" s="1" t="s">
        <v>194</v>
      </c>
      <c r="F125" s="1" t="s">
        <v>195</v>
      </c>
      <c r="G125" s="1" t="s">
        <v>196</v>
      </c>
      <c r="H125" s="2">
        <v>46062</v>
      </c>
      <c r="I125" s="1" t="s">
        <v>18</v>
      </c>
      <c r="J125" s="1" t="s">
        <v>237</v>
      </c>
      <c r="K125" s="1" t="s">
        <v>229</v>
      </c>
      <c r="L125" s="3" t="s">
        <v>211</v>
      </c>
      <c r="M125" s="3" t="s">
        <v>244</v>
      </c>
      <c r="N125" s="3" t="s">
        <v>247</v>
      </c>
      <c r="O125" s="1">
        <v>500</v>
      </c>
      <c r="P125" s="1">
        <v>4000</v>
      </c>
      <c r="Q125" s="1">
        <v>25</v>
      </c>
      <c r="R125" s="4">
        <f>Table1_1[[#This Row],[Rate]]*Table1_1[[#This Row],[Quantity]]</f>
        <v>100000</v>
      </c>
    </row>
    <row r="126" spans="1:18" x14ac:dyDescent="0.3">
      <c r="A126" s="1" t="s">
        <v>198</v>
      </c>
      <c r="B126" s="2">
        <v>46074</v>
      </c>
      <c r="C126" s="1" t="s">
        <v>204</v>
      </c>
      <c r="D126" s="1" t="s">
        <v>205</v>
      </c>
      <c r="E126" s="1" t="s">
        <v>206</v>
      </c>
      <c r="F126" s="1" t="s">
        <v>126</v>
      </c>
      <c r="G126" s="1" t="s">
        <v>17</v>
      </c>
      <c r="H126" s="2">
        <v>46076</v>
      </c>
      <c r="I126" s="1" t="s">
        <v>48</v>
      </c>
      <c r="J126" s="1" t="s">
        <v>238</v>
      </c>
      <c r="K126" s="1" t="s">
        <v>229</v>
      </c>
      <c r="L126" s="3" t="s">
        <v>211</v>
      </c>
      <c r="M126" s="3" t="s">
        <v>244</v>
      </c>
      <c r="N126" s="3" t="s">
        <v>247</v>
      </c>
      <c r="O126" s="1">
        <v>320</v>
      </c>
      <c r="P126" s="1">
        <v>3000</v>
      </c>
      <c r="Q126" s="1">
        <v>60</v>
      </c>
      <c r="R126" s="4">
        <f>Table1_1[[#This Row],[Rate]]*Table1_1[[#This Row],[Quantity]]</f>
        <v>180000</v>
      </c>
    </row>
    <row r="127" spans="1:18" x14ac:dyDescent="0.3">
      <c r="A127" s="1" t="s">
        <v>199</v>
      </c>
      <c r="B127" s="2">
        <v>46084</v>
      </c>
      <c r="C127" s="1" t="s">
        <v>207</v>
      </c>
      <c r="D127" s="1" t="s">
        <v>208</v>
      </c>
      <c r="E127" s="1" t="s">
        <v>209</v>
      </c>
      <c r="F127" s="1" t="s">
        <v>179</v>
      </c>
      <c r="G127" s="1" t="s">
        <v>17</v>
      </c>
      <c r="H127" s="2">
        <v>46086</v>
      </c>
      <c r="I127" s="1" t="s">
        <v>48</v>
      </c>
      <c r="J127" s="1" t="s">
        <v>238</v>
      </c>
      <c r="K127" s="1" t="s">
        <v>91</v>
      </c>
      <c r="L127" s="3" t="s">
        <v>217</v>
      </c>
      <c r="M127" s="3" t="s">
        <v>244</v>
      </c>
      <c r="N127" s="3" t="s">
        <v>247</v>
      </c>
      <c r="O127" s="1">
        <v>235</v>
      </c>
      <c r="P127" s="1">
        <v>3000</v>
      </c>
      <c r="Q127" s="1">
        <v>30</v>
      </c>
      <c r="R127" s="4">
        <f>Table1_1[[#This Row],[Rate]]*Table1_1[[#This Row],[Quantity]]</f>
        <v>90000</v>
      </c>
    </row>
    <row r="128" spans="1:18" x14ac:dyDescent="0.3">
      <c r="A128" s="1" t="s">
        <v>200</v>
      </c>
      <c r="B128" s="2">
        <v>46089</v>
      </c>
      <c r="C128" s="1" t="s">
        <v>207</v>
      </c>
      <c r="D128" s="1" t="s">
        <v>208</v>
      </c>
      <c r="E128" s="1" t="s">
        <v>209</v>
      </c>
      <c r="F128" s="1" t="s">
        <v>179</v>
      </c>
      <c r="G128" s="1" t="s">
        <v>17</v>
      </c>
      <c r="H128" s="2">
        <v>46091</v>
      </c>
      <c r="I128" s="1" t="s">
        <v>48</v>
      </c>
      <c r="J128" s="1" t="s">
        <v>238</v>
      </c>
      <c r="K128" s="1" t="s">
        <v>91</v>
      </c>
      <c r="L128" s="3" t="s">
        <v>217</v>
      </c>
      <c r="M128" s="3" t="s">
        <v>244</v>
      </c>
      <c r="N128" s="3" t="s">
        <v>247</v>
      </c>
      <c r="O128" s="1">
        <v>235</v>
      </c>
      <c r="P128" s="1">
        <v>3000</v>
      </c>
      <c r="Q128" s="1">
        <v>35</v>
      </c>
      <c r="R128" s="4">
        <f>Table1_1[[#This Row],[Rate]]*Table1_1[[#This Row],[Quantity]]</f>
        <v>105000</v>
      </c>
    </row>
    <row r="129" spans="1:18" x14ac:dyDescent="0.3">
      <c r="A129" s="1" t="s">
        <v>201</v>
      </c>
      <c r="B129" s="2">
        <v>46090</v>
      </c>
      <c r="C129" s="1" t="s">
        <v>110</v>
      </c>
      <c r="D129" s="1" t="s">
        <v>111</v>
      </c>
      <c r="E129" s="1" t="s">
        <v>112</v>
      </c>
      <c r="F129" s="1" t="s">
        <v>113</v>
      </c>
      <c r="G129" s="1" t="s">
        <v>17</v>
      </c>
      <c r="H129" s="2">
        <v>46094</v>
      </c>
      <c r="I129" s="1" t="s">
        <v>18</v>
      </c>
      <c r="J129" s="1" t="s">
        <v>238</v>
      </c>
      <c r="K129" s="1" t="s">
        <v>114</v>
      </c>
      <c r="L129" s="3" t="s">
        <v>224</v>
      </c>
      <c r="M129" s="3" t="s">
        <v>243</v>
      </c>
      <c r="N129" s="3" t="s">
        <v>247</v>
      </c>
      <c r="O129" s="1">
        <v>475</v>
      </c>
      <c r="P129" s="1">
        <v>4000</v>
      </c>
      <c r="Q129" s="1">
        <v>15</v>
      </c>
      <c r="R129" s="4">
        <f>Table1_1[[#This Row],[Rate]]*Table1_1[[#This Row],[Quantity]]</f>
        <v>60000</v>
      </c>
    </row>
    <row r="130" spans="1:18" x14ac:dyDescent="0.3">
      <c r="A130" s="1" t="s">
        <v>201</v>
      </c>
      <c r="B130" s="2">
        <v>46090</v>
      </c>
      <c r="C130" s="1" t="s">
        <v>110</v>
      </c>
      <c r="D130" s="1" t="s">
        <v>111</v>
      </c>
      <c r="E130" s="1" t="s">
        <v>112</v>
      </c>
      <c r="F130" s="1" t="s">
        <v>113</v>
      </c>
      <c r="G130" s="1" t="s">
        <v>17</v>
      </c>
      <c r="H130" s="2">
        <v>46094</v>
      </c>
      <c r="I130" s="1" t="s">
        <v>18</v>
      </c>
      <c r="J130" s="1" t="s">
        <v>238</v>
      </c>
      <c r="K130" s="1" t="s">
        <v>114</v>
      </c>
      <c r="L130" s="3" t="s">
        <v>219</v>
      </c>
      <c r="M130" s="3" t="s">
        <v>243</v>
      </c>
      <c r="N130" s="3" t="s">
        <v>247</v>
      </c>
      <c r="O130" s="1">
        <v>475</v>
      </c>
      <c r="P130" s="1">
        <v>4000</v>
      </c>
      <c r="Q130" s="1">
        <v>15</v>
      </c>
      <c r="R130" s="4">
        <f>Table1_1[[#This Row],[Rate]]*Table1_1[[#This Row],[Quantity]]</f>
        <v>60000</v>
      </c>
    </row>
    <row r="131" spans="1:18" x14ac:dyDescent="0.3">
      <c r="A131" s="1" t="s">
        <v>202</v>
      </c>
      <c r="B131" s="2">
        <v>46092</v>
      </c>
      <c r="C131" s="1" t="s">
        <v>207</v>
      </c>
      <c r="D131" s="1" t="s">
        <v>208</v>
      </c>
      <c r="E131" s="1" t="s">
        <v>209</v>
      </c>
      <c r="F131" s="1" t="s">
        <v>179</v>
      </c>
      <c r="G131" s="1" t="s">
        <v>17</v>
      </c>
      <c r="H131" s="2">
        <v>46094</v>
      </c>
      <c r="I131" s="1" t="s">
        <v>48</v>
      </c>
      <c r="J131" s="1" t="s">
        <v>238</v>
      </c>
      <c r="K131" s="1" t="s">
        <v>91</v>
      </c>
      <c r="L131" s="3" t="s">
        <v>217</v>
      </c>
      <c r="M131" s="3" t="s">
        <v>244</v>
      </c>
      <c r="N131" s="3" t="s">
        <v>247</v>
      </c>
      <c r="O131" s="1">
        <v>235</v>
      </c>
      <c r="P131" s="1">
        <v>3000</v>
      </c>
      <c r="Q131" s="1">
        <v>35</v>
      </c>
      <c r="R131" s="4">
        <f>Table1_1[[#This Row],[Rate]]*Table1_1[[#This Row],[Quantity]]</f>
        <v>105000</v>
      </c>
    </row>
    <row r="132" spans="1:18" x14ac:dyDescent="0.3">
      <c r="A132" s="1" t="s">
        <v>203</v>
      </c>
      <c r="B132" s="2">
        <v>46094</v>
      </c>
      <c r="C132" s="1" t="s">
        <v>207</v>
      </c>
      <c r="D132" s="1" t="s">
        <v>208</v>
      </c>
      <c r="E132" s="1" t="s">
        <v>209</v>
      </c>
      <c r="F132" s="1" t="s">
        <v>179</v>
      </c>
      <c r="G132" s="1" t="s">
        <v>17</v>
      </c>
      <c r="H132" s="2">
        <v>46096</v>
      </c>
      <c r="I132" s="1" t="s">
        <v>48</v>
      </c>
      <c r="J132" s="1" t="s">
        <v>238</v>
      </c>
      <c r="K132" s="1" t="s">
        <v>91</v>
      </c>
      <c r="L132" s="3" t="s">
        <v>217</v>
      </c>
      <c r="M132" s="3" t="s">
        <v>244</v>
      </c>
      <c r="N132" s="3" t="s">
        <v>247</v>
      </c>
      <c r="O132" s="1">
        <v>235</v>
      </c>
      <c r="P132" s="1">
        <v>3000</v>
      </c>
      <c r="Q132" s="1">
        <v>35</v>
      </c>
      <c r="R132" s="4">
        <f>Table1_1[[#This Row],[Rate]]*Table1_1[[#This Row],[Quantity]]</f>
        <v>105000</v>
      </c>
    </row>
  </sheetData>
  <pageMargins left="0.7" right="0.7" top="0.75" bottom="0.75" header="0.3" footer="0.3"/>
  <ignoredErrors>
    <ignoredError sqref="L12 L20 L129:L130 L120 L2 L43" twoDigitTextYear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BD711-94AF-42FD-A012-F34938B927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FactData</vt:lpstr>
      <vt:lpstr>DimCustomer</vt:lpstr>
      <vt:lpstr>DimProduct</vt:lpstr>
      <vt:lpstr>DimGeography</vt:lpstr>
      <vt:lpstr>DimApplication</vt:lpstr>
      <vt:lpstr>DimLoading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Ankeet Bose</dc:creator>
  <cp:lastModifiedBy>Ankeet Bose</cp:lastModifiedBy>
  <dcterms:created xsi:type="dcterms:W3CDTF">2026-06-22T14:42:36Z</dcterms:created>
  <dcterms:modified xsi:type="dcterms:W3CDTF">2026-07-07T18:57:24Z</dcterms:modified>
</cp:coreProperties>
</file>